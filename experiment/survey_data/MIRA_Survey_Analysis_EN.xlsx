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  <sheet state="visible" name="Processed Data" sheetId="2" r:id="rId5"/>
    <sheet state="visible" name="Pivot Tables" sheetId="3" r:id="rId6"/>
  </sheets>
  <definedNames>
    <definedName hidden="1" localSheetId="1" name="_xlnm._FilterDatabase">'Processed Data'!$A$1:$T$114</definedName>
  </definedNames>
  <calcPr/>
  <extLst>
    <ext uri="GoogleSheetsCustomDataVersion2">
      <go:sheetsCustomData xmlns:go="http://customooxmlschemas.google.com/" r:id="rId7" roundtripDataChecksum="yIuiNSRsZymVqaF8RfTrnU7DPAQ2Uyl/e8cM9R5YqIE="/>
    </ext>
  </extLst>
</workbook>
</file>

<file path=xl/sharedStrings.xml><?xml version="1.0" encoding="utf-8"?>
<sst xmlns="http://schemas.openxmlformats.org/spreadsheetml/2006/main" count="831" uniqueCount="108">
  <si>
    <t>Timestamp</t>
  </si>
  <si>
    <t>What is your primary role in the Software Engineering field?</t>
  </si>
  <si>
    <t>How many years of professional experience do you have in the field?</t>
  </si>
  <si>
    <t>What is your seniority level in the Software Engineering field</t>
  </si>
  <si>
    <t>In your view, how do you evaluate the Non-Functional Requirement proposed by the agent? [Clarity: The NFR is clear and understandable.]</t>
  </si>
  <si>
    <t>In your view, how do you evaluate the Non-Functional Requirement proposed by the agent? [Measurability: The NFR has objective and verifiable criteria.]</t>
  </si>
  <si>
    <t>In your view, how do you evaluate the Non-Functional Requirement proposed by the agent? [Relevance: The NFR is relevant to the user story and the system.]</t>
  </si>
  <si>
    <t>In your view, how do you evaluate the Non-Functional Requirement proposed by the agent? [Feasibility: The NFR is realistic to be met within the project context.]</t>
  </si>
  <si>
    <t>In your view, how do you evaluate the Non-Functional Requirement proposed by the agent? [Completeness: The NFR adequately covers the proposed non-functional aspect.]</t>
  </si>
  <si>
    <t>In your view, how do you evaluate the Non-Functional Requirement proposed by the agent? [NFR Adherence: The scenario actually verifies the associated NFR.]</t>
  </si>
  <si>
    <t>In your view, how do you evaluate the Non-Functional Requirement proposed by the agent? [Clarity: The scenario is written objectively and without ambiguity.]</t>
  </si>
  <si>
    <t>In your view, how do you evaluate the Non-Functional Requirement proposed by the agent? [Execution Feasibility: The scenario can be executed in practice.]</t>
  </si>
  <si>
    <t>In your view, how do you evaluate the Non-Functional Requirement proposed by the agent? [Coverage: The set of scenarios adequately covers the NFR.]</t>
  </si>
  <si>
    <t>In your view, how do you evaluate the Non-Functional Requirement proposed by the agent? [Condition Quality/Expected Outcome: The conditions and expected results are sufficient.]</t>
  </si>
  <si>
    <t>Test Analyst / QA</t>
  </si>
  <si>
    <t>1 to 3 years</t>
  </si>
  <si>
    <t>Junior</t>
  </si>
  <si>
    <t>Less than 1 year</t>
  </si>
  <si>
    <t>Intern</t>
  </si>
  <si>
    <t>Product Owner / Product Manager</t>
  </si>
  <si>
    <t>Requirements Analyst</t>
  </si>
  <si>
    <t>Mid-level</t>
  </si>
  <si>
    <t>More than 10 years</t>
  </si>
  <si>
    <t>Senior</t>
  </si>
  <si>
    <t>3 to 5 years</t>
  </si>
  <si>
    <t>Apprentice</t>
  </si>
  <si>
    <t>Type</t>
  </si>
  <si>
    <t>Functionality</t>
  </si>
  <si>
    <t>Evaluation Item</t>
  </si>
  <si>
    <t>US</t>
  </si>
  <si>
    <t>Questions</t>
  </si>
  <si>
    <t>Respondent 1</t>
  </si>
  <si>
    <t>Respondent 2</t>
  </si>
  <si>
    <t>Respondent 3</t>
  </si>
  <si>
    <t>Respondent 4</t>
  </si>
  <si>
    <t>Respondent 5</t>
  </si>
  <si>
    <t>Respondent 6</t>
  </si>
  <si>
    <t>Respondent 7</t>
  </si>
  <si>
    <t>Respondent 8</t>
  </si>
  <si>
    <t>Respondent 9</t>
  </si>
  <si>
    <t>Respondent 10</t>
  </si>
  <si>
    <t>Respondent 11</t>
  </si>
  <si>
    <t>Respondent 12</t>
  </si>
  <si>
    <t>Respondent 13</t>
  </si>
  <si>
    <t>Respondent 14</t>
  </si>
  <si>
    <t>Respondent 15</t>
  </si>
  <si>
    <t>Sum</t>
  </si>
  <si>
    <t>Mean</t>
  </si>
  <si>
    <t>Std Dev</t>
  </si>
  <si>
    <t>Median</t>
  </si>
  <si>
    <t>Minimum</t>
  </si>
  <si>
    <t>Maximum</t>
  </si>
  <si>
    <t>Profile</t>
  </si>
  <si>
    <t>Respondent Profile</t>
  </si>
  <si>
    <t>N/A</t>
  </si>
  <si>
    <t xml:space="preserve"> Qual é o seu papel principal na área de Engenharia de Software?  </t>
  </si>
  <si>
    <t xml:space="preserve">Quanto tempo de experiência profissional você possui na área?  </t>
  </si>
  <si>
    <t xml:space="preserve">Qual é o seu nível de senioridade na área de Engenharia de Software?  </t>
  </si>
  <si>
    <t>Requirement</t>
  </si>
  <si>
    <t>Sponsorship Management</t>
  </si>
  <si>
    <t>NFR Clarity</t>
  </si>
  <si>
    <t>US01</t>
  </si>
  <si>
    <t>Measurability</t>
  </si>
  <si>
    <t>Relevance</t>
  </si>
  <si>
    <t>Feasibility</t>
  </si>
  <si>
    <t>Completeness</t>
  </si>
  <si>
    <t>Test Scenario</t>
  </si>
  <si>
    <t>NFR Adherence</t>
  </si>
  <si>
    <t>In your view, how do you evaluate the test scenarios generated by the agent for the non-functional requirement mentioned in the previous question? [NFR Adherence: The scenario actually verifies the associated NFR.]</t>
  </si>
  <si>
    <t>CT Clarity</t>
  </si>
  <si>
    <t>In your view, how do you evaluate the test scenarios generated by the agent for the non-functional requirement mentioned in the previous question? [Clarity: The scenario is written objectively and without ambiguity.]</t>
  </si>
  <si>
    <t>Execution Feasibility</t>
  </si>
  <si>
    <t>In your view, how do you evaluate the test scenarios generated by the agent for the non-functional requirement mentioned in the previous question? [Execution Feasibility: The scenario can be executed in practice.]</t>
  </si>
  <si>
    <t>Coverage</t>
  </si>
  <si>
    <t>In your view, how do you evaluate the test scenarios generated by the agent for the non-functional requirement mentioned in the previous question? [Coverage: The set of scenarios adequately covers the NFR.]</t>
  </si>
  <si>
    <t>Condition Quality/Expected Outcome</t>
  </si>
  <si>
    <t>In your view, how do you evaluate the test scenarios generated by the agent for the non-functional requirement mentioned in the previous question? [Condition Quality/Expected Outcome: The conditions and expected results are sufficient.]</t>
  </si>
  <si>
    <t>Training Management</t>
  </si>
  <si>
    <t>US09</t>
  </si>
  <si>
    <t>Schedule</t>
  </si>
  <si>
    <t>US11</t>
  </si>
  <si>
    <t>Infrastructure</t>
  </si>
  <si>
    <t>US25</t>
  </si>
  <si>
    <t>Processamento financeiro</t>
  </si>
  <si>
    <t>US30</t>
  </si>
  <si>
    <t>User Management</t>
  </si>
  <si>
    <t>US31</t>
  </si>
  <si>
    <t>Posting</t>
  </si>
  <si>
    <t>US34</t>
  </si>
  <si>
    <t>Summit Management</t>
  </si>
  <si>
    <t>US40</t>
  </si>
  <si>
    <t>Recruitment and Job Vacancies</t>
  </si>
  <si>
    <t>US52</t>
  </si>
  <si>
    <t>Session and Talk Management</t>
  </si>
  <si>
    <t>US58</t>
  </si>
  <si>
    <t>General Account Functionality</t>
  </si>
  <si>
    <t>US62</t>
  </si>
  <si>
    <t>Row Labels</t>
  </si>
  <si>
    <t>Average of Mean</t>
  </si>
  <si>
    <t>Average of Std Dev</t>
  </si>
  <si>
    <t>Average of Median</t>
  </si>
  <si>
    <t>Min of Minimum</t>
  </si>
  <si>
    <t>Max of Maximum</t>
  </si>
  <si>
    <t>Grand Total</t>
  </si>
  <si>
    <t>Evaluation Criterion</t>
  </si>
  <si>
    <t xml:space="preserve"> Desvio Padrão</t>
  </si>
  <si>
    <t>Non-Functional Requirements</t>
  </si>
  <si>
    <t>Test Scenarios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</si>
</sst>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\ h:mm:ss"/>
  </numFmts>
  <fonts count="5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  <scheme val="minor"/>
    </font>
    <font>
      <sz val="10.0"/>
      <color rgb="FF000000"/>
      <name val="Arial"/>
    </font>
    <font/>
  </fonts>
  <fills count="4">
    <fill>
      <patternFill patternType="none"/>
    </fill>
    <fill>
      <patternFill patternType="lightGray"/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5B3F86"/>
      </left>
      <right/>
      <top/>
      <bottom/>
    </border>
    <border>
      <left/>
      <right/>
      <top/>
    </border>
    <border>
      <left/>
      <right/>
      <top/>
      <bottom/>
    </border>
    <border>
      <left/>
      <right/>
    </border>
    <border>
      <left/>
      <right/>
      <bottom/>
    </border>
    <border>
      <left/>
      <right style="thin">
        <color rgb="FF5B3F86"/>
      </right>
      <top/>
      <bottom/>
    </border>
    <border>
      <left style="thin">
        <color rgb="FF999999"/>
      </left>
      <top style="thin">
        <color rgb="FF999999"/>
      </top>
    </border>
    <border>
      <top style="thin">
        <color rgb="FF999999"/>
      </top>
    </border>
    <border>
      <right style="thin">
        <color rgb="FF999999"/>
      </right>
      <top style="thin">
        <color rgb="FF999999"/>
      </top>
    </border>
    <border>
      <left style="thin">
        <color rgb="FF999999"/>
      </left>
      <top style="thin">
        <color rgb="FF000000"/>
      </top>
    </border>
    <border>
      <top style="thin">
        <color rgb="FF000000"/>
      </top>
    </border>
    <border>
      <right style="thin">
        <color rgb="FF999999"/>
      </right>
      <top style="thin">
        <color rgb="FF000000"/>
      </top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readingOrder="0" vertical="center"/>
    </xf>
    <xf borderId="0" fillId="0" fontId="1" numFmtId="164" xfId="0" applyAlignment="1" applyFont="1" applyNumberFormat="1">
      <alignment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3" numFmtId="0" xfId="0" applyFont="1"/>
    <xf borderId="0" fillId="0" fontId="1" numFmtId="0" xfId="0" applyAlignment="1" applyFont="1">
      <alignment horizontal="left" vertical="center"/>
    </xf>
    <xf borderId="1" fillId="2" fontId="1" numFmtId="164" xfId="0" applyAlignment="1" applyBorder="1" applyFill="1" applyFont="1" applyNumberFormat="1">
      <alignment vertical="center"/>
    </xf>
    <xf borderId="2" fillId="3" fontId="1" numFmtId="0" xfId="0" applyAlignment="1" applyBorder="1" applyFill="1" applyFont="1">
      <alignment horizontal="center" vertical="center"/>
    </xf>
    <xf borderId="3" fillId="2" fontId="1" numFmtId="0" xfId="0" applyAlignment="1" applyBorder="1" applyFont="1">
      <alignment vertical="center"/>
    </xf>
    <xf borderId="3" fillId="3" fontId="1" numFmtId="0" xfId="0" applyAlignment="1" applyBorder="1" applyFont="1">
      <alignment vertical="center"/>
    </xf>
    <xf borderId="4" fillId="0" fontId="4" numFmtId="0" xfId="0" applyBorder="1" applyFont="1"/>
    <xf borderId="5" fillId="0" fontId="4" numFmtId="0" xfId="0" applyBorder="1" applyFont="1"/>
    <xf borderId="0" fillId="0" fontId="3" numFmtId="2" xfId="0" applyFont="1" applyNumberFormat="1"/>
    <xf borderId="6" fillId="2" fontId="1" numFmtId="0" xfId="0" applyAlignment="1" applyBorder="1" applyFont="1">
      <alignment vertical="center"/>
    </xf>
    <xf borderId="6" fillId="3" fontId="1" numFmtId="0" xfId="0" applyAlignment="1" applyBorder="1" applyFont="1">
      <alignment vertical="center"/>
    </xf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7" fillId="0" fontId="3" numFmtId="0" xfId="0" applyAlignment="1" applyBorder="1" applyFont="1">
      <alignment horizontal="left"/>
    </xf>
    <xf borderId="7" fillId="0" fontId="3" numFmtId="2" xfId="0" applyBorder="1" applyFont="1" applyNumberFormat="1"/>
    <xf borderId="8" fillId="0" fontId="3" numFmtId="2" xfId="0" applyBorder="1" applyFont="1" applyNumberFormat="1"/>
    <xf borderId="8" fillId="0" fontId="3" numFmtId="1" xfId="0" applyBorder="1" applyFont="1" applyNumberFormat="1"/>
    <xf borderId="9" fillId="0" fontId="3" numFmtId="1" xfId="0" applyBorder="1" applyFont="1" applyNumberFormat="1"/>
    <xf borderId="10" fillId="0" fontId="3" numFmtId="0" xfId="0" applyAlignment="1" applyBorder="1" applyFont="1">
      <alignment horizontal="left"/>
    </xf>
    <xf borderId="10" fillId="0" fontId="3" numFmtId="2" xfId="0" applyBorder="1" applyFont="1" applyNumberFormat="1"/>
    <xf borderId="11" fillId="0" fontId="3" numFmtId="2" xfId="0" applyBorder="1" applyFont="1" applyNumberFormat="1"/>
    <xf borderId="11" fillId="0" fontId="3" numFmtId="1" xfId="0" applyBorder="1" applyFont="1" applyNumberFormat="1"/>
    <xf borderId="12" fillId="0" fontId="3" numFmtId="1" xfId="0" applyBorder="1" applyFont="1" applyNumberFormat="1"/>
    <xf borderId="13" fillId="0" fontId="3" numFmtId="0" xfId="0" applyAlignment="1" applyBorder="1" applyFont="1">
      <alignment horizontal="left"/>
    </xf>
    <xf borderId="13" fillId="0" fontId="3" numFmtId="2" xfId="0" applyBorder="1" applyFont="1" applyNumberFormat="1"/>
    <xf borderId="14" fillId="0" fontId="3" numFmtId="2" xfId="0" applyBorder="1" applyFont="1" applyNumberFormat="1"/>
    <xf borderId="14" fillId="0" fontId="3" numFmtId="1" xfId="0" applyBorder="1" applyFont="1" applyNumberFormat="1"/>
    <xf borderId="15" fillId="0" fontId="3" numFmtId="1" xfId="0" applyBorder="1" applyFont="1" applyNumberFormat="1"/>
    <xf borderId="0" fillId="0" fontId="3" numFmtId="1" xfId="0" applyFont="1" applyNumberForma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2" pivot="0" name="Form Responses 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DJ16" displayName="Table_1" name="Table_1" id="1">
  <tableColumns count="1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1.38"/>
    <col customWidth="1" min="2" max="114" width="37.5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4</v>
      </c>
      <c r="P1" s="1" t="s">
        <v>5</v>
      </c>
      <c r="Q1" s="1" t="s">
        <v>6</v>
      </c>
      <c r="R1" s="1" t="s">
        <v>7</v>
      </c>
      <c r="S1" s="1" t="s">
        <v>8</v>
      </c>
      <c r="T1" s="1" t="s">
        <v>9</v>
      </c>
      <c r="U1" s="1" t="s">
        <v>10</v>
      </c>
      <c r="V1" s="1" t="s">
        <v>11</v>
      </c>
      <c r="W1" s="1" t="s">
        <v>12</v>
      </c>
      <c r="X1" s="1" t="s">
        <v>13</v>
      </c>
      <c r="Y1" s="1" t="s">
        <v>4</v>
      </c>
      <c r="Z1" s="1" t="s">
        <v>5</v>
      </c>
      <c r="AA1" s="1" t="s">
        <v>6</v>
      </c>
      <c r="AB1" s="1" t="s">
        <v>7</v>
      </c>
      <c r="AC1" s="1" t="s">
        <v>8</v>
      </c>
      <c r="AD1" s="1" t="s">
        <v>9</v>
      </c>
      <c r="AE1" s="1" t="s">
        <v>10</v>
      </c>
      <c r="AF1" s="1" t="s">
        <v>11</v>
      </c>
      <c r="AG1" s="1" t="s">
        <v>12</v>
      </c>
      <c r="AH1" s="1" t="s">
        <v>13</v>
      </c>
      <c r="AI1" s="1" t="s">
        <v>4</v>
      </c>
      <c r="AJ1" s="1" t="s">
        <v>5</v>
      </c>
      <c r="AK1" s="1" t="s">
        <v>6</v>
      </c>
      <c r="AL1" s="1" t="s">
        <v>7</v>
      </c>
      <c r="AM1" s="1" t="s">
        <v>8</v>
      </c>
      <c r="AN1" s="1" t="s">
        <v>9</v>
      </c>
      <c r="AO1" s="1" t="s">
        <v>10</v>
      </c>
      <c r="AP1" s="1" t="s">
        <v>11</v>
      </c>
      <c r="AQ1" s="1" t="s">
        <v>12</v>
      </c>
      <c r="AR1" s="1" t="s">
        <v>13</v>
      </c>
      <c r="AS1" s="1" t="s">
        <v>4</v>
      </c>
      <c r="AT1" s="1" t="s">
        <v>5</v>
      </c>
      <c r="AU1" s="1" t="s">
        <v>6</v>
      </c>
      <c r="AV1" s="1" t="s">
        <v>7</v>
      </c>
      <c r="AW1" s="1" t="s">
        <v>8</v>
      </c>
      <c r="AX1" s="1" t="s">
        <v>9</v>
      </c>
      <c r="AY1" s="1" t="s">
        <v>10</v>
      </c>
      <c r="AZ1" s="1" t="s">
        <v>11</v>
      </c>
      <c r="BA1" s="1" t="s">
        <v>12</v>
      </c>
      <c r="BB1" s="1" t="s">
        <v>13</v>
      </c>
      <c r="BC1" s="1" t="s">
        <v>4</v>
      </c>
      <c r="BD1" s="1" t="s">
        <v>5</v>
      </c>
      <c r="BE1" s="1" t="s">
        <v>6</v>
      </c>
      <c r="BF1" s="1" t="s">
        <v>7</v>
      </c>
      <c r="BG1" s="1" t="s">
        <v>8</v>
      </c>
      <c r="BH1" s="1" t="s">
        <v>9</v>
      </c>
      <c r="BI1" s="1" t="s">
        <v>10</v>
      </c>
      <c r="BJ1" s="1" t="s">
        <v>11</v>
      </c>
      <c r="BK1" s="1" t="s">
        <v>12</v>
      </c>
      <c r="BL1" s="1" t="s">
        <v>13</v>
      </c>
      <c r="BM1" s="1" t="s">
        <v>4</v>
      </c>
      <c r="BN1" s="1" t="s">
        <v>5</v>
      </c>
      <c r="BO1" s="1" t="s">
        <v>6</v>
      </c>
      <c r="BP1" s="1" t="s">
        <v>7</v>
      </c>
      <c r="BQ1" s="1" t="s">
        <v>8</v>
      </c>
      <c r="BR1" s="1" t="s">
        <v>9</v>
      </c>
      <c r="BS1" s="1" t="s">
        <v>10</v>
      </c>
      <c r="BT1" s="1" t="s">
        <v>11</v>
      </c>
      <c r="BU1" s="1" t="s">
        <v>12</v>
      </c>
      <c r="BV1" s="1" t="s">
        <v>13</v>
      </c>
      <c r="BW1" s="1" t="s">
        <v>4</v>
      </c>
      <c r="BX1" s="1" t="s">
        <v>5</v>
      </c>
      <c r="BY1" s="1" t="s">
        <v>6</v>
      </c>
      <c r="BZ1" s="1" t="s">
        <v>7</v>
      </c>
      <c r="CA1" s="1" t="s">
        <v>8</v>
      </c>
      <c r="CB1" s="1" t="s">
        <v>9</v>
      </c>
      <c r="CC1" s="1" t="s">
        <v>10</v>
      </c>
      <c r="CD1" s="1" t="s">
        <v>11</v>
      </c>
      <c r="CE1" s="1" t="s">
        <v>12</v>
      </c>
      <c r="CF1" s="1" t="s">
        <v>13</v>
      </c>
      <c r="CG1" s="1" t="s">
        <v>4</v>
      </c>
      <c r="CH1" s="1" t="s">
        <v>5</v>
      </c>
      <c r="CI1" s="1" t="s">
        <v>6</v>
      </c>
      <c r="CJ1" s="1" t="s">
        <v>7</v>
      </c>
      <c r="CK1" s="1" t="s">
        <v>8</v>
      </c>
      <c r="CL1" s="1" t="s">
        <v>9</v>
      </c>
      <c r="CM1" s="1" t="s">
        <v>10</v>
      </c>
      <c r="CN1" s="1" t="s">
        <v>11</v>
      </c>
      <c r="CO1" s="1" t="s">
        <v>12</v>
      </c>
      <c r="CP1" s="1" t="s">
        <v>13</v>
      </c>
      <c r="CQ1" s="1" t="s">
        <v>4</v>
      </c>
      <c r="CR1" s="1" t="s">
        <v>5</v>
      </c>
      <c r="CS1" s="1" t="s">
        <v>6</v>
      </c>
      <c r="CT1" s="1" t="s">
        <v>7</v>
      </c>
      <c r="CU1" s="1" t="s">
        <v>8</v>
      </c>
      <c r="CV1" s="1" t="s">
        <v>9</v>
      </c>
      <c r="CW1" s="1" t="s">
        <v>10</v>
      </c>
      <c r="CX1" s="1" t="s">
        <v>11</v>
      </c>
      <c r="CY1" s="1" t="s">
        <v>12</v>
      </c>
      <c r="CZ1" s="1" t="s">
        <v>13</v>
      </c>
      <c r="DA1" s="1" t="s">
        <v>4</v>
      </c>
      <c r="DB1" s="1" t="s">
        <v>5</v>
      </c>
      <c r="DC1" s="1" t="s">
        <v>6</v>
      </c>
      <c r="DD1" s="1" t="s">
        <v>7</v>
      </c>
      <c r="DE1" s="1" t="s">
        <v>8</v>
      </c>
      <c r="DF1" s="1" t="s">
        <v>9</v>
      </c>
      <c r="DG1" s="1" t="s">
        <v>10</v>
      </c>
      <c r="DH1" s="1" t="s">
        <v>11</v>
      </c>
      <c r="DI1" s="1" t="s">
        <v>12</v>
      </c>
      <c r="DJ1" s="1" t="s">
        <v>13</v>
      </c>
    </row>
    <row r="2" ht="22.5" customHeight="1">
      <c r="A2" s="3">
        <v>46001.77707950232</v>
      </c>
      <c r="B2" s="4" t="s">
        <v>14</v>
      </c>
      <c r="C2" s="4" t="s">
        <v>15</v>
      </c>
      <c r="D2" s="4" t="s">
        <v>16</v>
      </c>
      <c r="E2" s="4">
        <v>3.0</v>
      </c>
      <c r="F2" s="4">
        <v>3.0</v>
      </c>
      <c r="G2" s="4">
        <v>2.0</v>
      </c>
      <c r="H2" s="4">
        <v>2.0</v>
      </c>
      <c r="I2" s="4">
        <v>3.0</v>
      </c>
      <c r="J2" s="4">
        <v>3.0</v>
      </c>
      <c r="K2" s="4">
        <v>3.0</v>
      </c>
      <c r="L2" s="4">
        <v>2.0</v>
      </c>
      <c r="M2" s="4">
        <v>3.0</v>
      </c>
      <c r="N2" s="4">
        <v>2.0</v>
      </c>
      <c r="O2" s="4">
        <v>4.0</v>
      </c>
      <c r="P2" s="4">
        <v>5.0</v>
      </c>
      <c r="Q2" s="4">
        <v>5.0</v>
      </c>
      <c r="R2" s="4">
        <v>4.0</v>
      </c>
      <c r="S2" s="4">
        <v>4.0</v>
      </c>
      <c r="T2" s="4">
        <v>5.0</v>
      </c>
      <c r="U2" s="4">
        <v>5.0</v>
      </c>
      <c r="V2" s="4">
        <v>5.0</v>
      </c>
      <c r="W2" s="4">
        <v>5.0</v>
      </c>
      <c r="X2" s="4">
        <v>5.0</v>
      </c>
      <c r="Y2" s="4">
        <v>5.0</v>
      </c>
      <c r="Z2" s="4">
        <v>5.0</v>
      </c>
      <c r="AA2" s="4">
        <v>4.0</v>
      </c>
      <c r="AB2" s="4">
        <v>4.0</v>
      </c>
      <c r="AC2" s="4">
        <v>5.0</v>
      </c>
      <c r="AD2" s="4">
        <v>5.0</v>
      </c>
      <c r="AE2" s="4">
        <v>5.0</v>
      </c>
      <c r="AF2" s="4">
        <v>5.0</v>
      </c>
      <c r="AG2" s="4">
        <v>5.0</v>
      </c>
      <c r="AH2" s="4">
        <v>5.0</v>
      </c>
      <c r="AI2" s="4">
        <v>5.0</v>
      </c>
      <c r="AJ2" s="4">
        <v>5.0</v>
      </c>
      <c r="AK2" s="4">
        <v>5.0</v>
      </c>
      <c r="AL2" s="4">
        <v>4.0</v>
      </c>
      <c r="AM2" s="4">
        <v>5.0</v>
      </c>
      <c r="AN2" s="4">
        <v>5.0</v>
      </c>
      <c r="AO2" s="4">
        <v>5.0</v>
      </c>
      <c r="AP2" s="4">
        <v>5.0</v>
      </c>
      <c r="AQ2" s="4">
        <v>5.0</v>
      </c>
      <c r="AR2" s="4">
        <v>4.0</v>
      </c>
      <c r="AS2" s="4">
        <v>3.0</v>
      </c>
      <c r="AT2" s="4">
        <v>4.0</v>
      </c>
      <c r="AU2" s="4">
        <v>5.0</v>
      </c>
      <c r="AV2" s="4">
        <v>3.0</v>
      </c>
      <c r="AW2" s="4">
        <v>5.0</v>
      </c>
      <c r="AX2" s="4">
        <v>4.0</v>
      </c>
      <c r="AY2" s="4">
        <v>5.0</v>
      </c>
      <c r="AZ2" s="4">
        <v>4.0</v>
      </c>
      <c r="BA2" s="4">
        <v>5.0</v>
      </c>
      <c r="BB2" s="4">
        <v>4.0</v>
      </c>
      <c r="BC2" s="4">
        <v>5.0</v>
      </c>
      <c r="BD2" s="4">
        <v>3.0</v>
      </c>
      <c r="BE2" s="4">
        <v>5.0</v>
      </c>
      <c r="BF2" s="4">
        <v>4.0</v>
      </c>
      <c r="BG2" s="4">
        <v>5.0</v>
      </c>
      <c r="BH2" s="4">
        <v>5.0</v>
      </c>
      <c r="BI2" s="4">
        <v>5.0</v>
      </c>
      <c r="BJ2" s="4">
        <v>4.0</v>
      </c>
      <c r="BK2" s="4">
        <v>5.0</v>
      </c>
      <c r="BL2" s="4">
        <v>4.0</v>
      </c>
      <c r="BM2" s="4">
        <v>5.0</v>
      </c>
      <c r="BN2" s="4">
        <v>4.0</v>
      </c>
      <c r="BO2" s="4">
        <v>5.0</v>
      </c>
      <c r="BP2" s="4">
        <v>4.0</v>
      </c>
      <c r="BQ2" s="4">
        <v>5.0</v>
      </c>
      <c r="BR2" s="4">
        <v>5.0</v>
      </c>
      <c r="BS2" s="4">
        <v>5.0</v>
      </c>
      <c r="BT2" s="4">
        <v>5.0</v>
      </c>
      <c r="BU2" s="4">
        <v>4.0</v>
      </c>
      <c r="BV2" s="4">
        <v>4.0</v>
      </c>
      <c r="BW2" s="4">
        <v>5.0</v>
      </c>
      <c r="BX2" s="4">
        <v>5.0</v>
      </c>
      <c r="BY2" s="4">
        <v>5.0</v>
      </c>
      <c r="BZ2" s="4">
        <v>4.0</v>
      </c>
      <c r="CA2" s="4">
        <v>4.0</v>
      </c>
      <c r="CB2" s="4">
        <v>5.0</v>
      </c>
      <c r="CC2" s="4">
        <v>5.0</v>
      </c>
      <c r="CD2" s="4">
        <v>3.0</v>
      </c>
      <c r="CE2" s="4">
        <v>4.0</v>
      </c>
      <c r="CF2" s="4">
        <v>4.0</v>
      </c>
      <c r="CG2" s="4">
        <v>5.0</v>
      </c>
      <c r="CH2" s="4">
        <v>5.0</v>
      </c>
      <c r="CI2" s="4">
        <v>5.0</v>
      </c>
      <c r="CJ2" s="4">
        <v>5.0</v>
      </c>
      <c r="CK2" s="4">
        <v>5.0</v>
      </c>
      <c r="CL2" s="4">
        <v>5.0</v>
      </c>
      <c r="CM2" s="4">
        <v>5.0</v>
      </c>
      <c r="CN2" s="4">
        <v>5.0</v>
      </c>
      <c r="CO2" s="4">
        <v>5.0</v>
      </c>
      <c r="CP2" s="4">
        <v>5.0</v>
      </c>
      <c r="CQ2" s="4">
        <v>4.0</v>
      </c>
      <c r="CR2" s="4">
        <v>5.0</v>
      </c>
      <c r="CS2" s="4">
        <v>3.0</v>
      </c>
      <c r="CT2" s="4">
        <v>5.0</v>
      </c>
      <c r="CU2" s="4">
        <v>3.0</v>
      </c>
      <c r="CV2" s="4">
        <v>5.0</v>
      </c>
      <c r="CW2" s="4">
        <v>4.0</v>
      </c>
      <c r="CX2" s="4">
        <v>5.0</v>
      </c>
      <c r="CY2" s="4">
        <v>3.0</v>
      </c>
      <c r="CZ2" s="4">
        <v>4.0</v>
      </c>
      <c r="DA2" s="4">
        <v>5.0</v>
      </c>
      <c r="DB2" s="4">
        <v>5.0</v>
      </c>
      <c r="DC2" s="4">
        <v>5.0</v>
      </c>
      <c r="DD2" s="4">
        <v>5.0</v>
      </c>
      <c r="DE2" s="4">
        <v>5.0</v>
      </c>
      <c r="DF2" s="4">
        <v>5.0</v>
      </c>
      <c r="DG2" s="4">
        <v>5.0</v>
      </c>
      <c r="DH2" s="4">
        <v>5.0</v>
      </c>
      <c r="DI2" s="4">
        <v>5.0</v>
      </c>
      <c r="DJ2" s="4">
        <v>5.0</v>
      </c>
    </row>
    <row r="3" ht="22.5" customHeight="1">
      <c r="A3" s="3">
        <v>46001.78185457176</v>
      </c>
      <c r="B3" s="4" t="s">
        <v>14</v>
      </c>
      <c r="C3" s="4" t="s">
        <v>17</v>
      </c>
      <c r="D3" s="4" t="s">
        <v>18</v>
      </c>
      <c r="E3" s="4">
        <v>5.0</v>
      </c>
      <c r="F3" s="4">
        <v>5.0</v>
      </c>
      <c r="G3" s="4">
        <v>5.0</v>
      </c>
      <c r="H3" s="4">
        <v>4.0</v>
      </c>
      <c r="I3" s="4">
        <v>5.0</v>
      </c>
      <c r="J3" s="4">
        <v>5.0</v>
      </c>
      <c r="K3" s="4">
        <v>5.0</v>
      </c>
      <c r="L3" s="4">
        <v>5.0</v>
      </c>
      <c r="M3" s="4">
        <v>5.0</v>
      </c>
      <c r="N3" s="4">
        <v>5.0</v>
      </c>
      <c r="O3" s="4">
        <v>5.0</v>
      </c>
      <c r="P3" s="4">
        <v>5.0</v>
      </c>
      <c r="Q3" s="4">
        <v>5.0</v>
      </c>
      <c r="R3" s="4">
        <v>5.0</v>
      </c>
      <c r="S3" s="4">
        <v>5.0</v>
      </c>
      <c r="T3" s="4">
        <v>5.0</v>
      </c>
      <c r="U3" s="4">
        <v>5.0</v>
      </c>
      <c r="V3" s="4">
        <v>5.0</v>
      </c>
      <c r="W3" s="4">
        <v>5.0</v>
      </c>
      <c r="X3" s="4">
        <v>5.0</v>
      </c>
      <c r="Y3" s="4">
        <v>5.0</v>
      </c>
      <c r="Z3" s="4">
        <v>5.0</v>
      </c>
      <c r="AA3" s="4">
        <v>5.0</v>
      </c>
      <c r="AB3" s="4">
        <v>5.0</v>
      </c>
      <c r="AC3" s="4">
        <v>5.0</v>
      </c>
      <c r="AD3" s="4">
        <v>5.0</v>
      </c>
      <c r="AE3" s="4">
        <v>5.0</v>
      </c>
      <c r="AF3" s="4">
        <v>5.0</v>
      </c>
      <c r="AG3" s="4">
        <v>5.0</v>
      </c>
      <c r="AH3" s="4">
        <v>5.0</v>
      </c>
      <c r="AI3" s="4">
        <v>5.0</v>
      </c>
      <c r="AJ3" s="4">
        <v>5.0</v>
      </c>
      <c r="AK3" s="4">
        <v>5.0</v>
      </c>
      <c r="AL3" s="4">
        <v>5.0</v>
      </c>
      <c r="AM3" s="4">
        <v>5.0</v>
      </c>
      <c r="AN3" s="4">
        <v>5.0</v>
      </c>
      <c r="AO3" s="4">
        <v>5.0</v>
      </c>
      <c r="AP3" s="4">
        <v>5.0</v>
      </c>
      <c r="AQ3" s="4">
        <v>5.0</v>
      </c>
      <c r="AR3" s="4">
        <v>5.0</v>
      </c>
      <c r="AS3" s="4">
        <v>5.0</v>
      </c>
      <c r="AT3" s="4">
        <v>5.0</v>
      </c>
      <c r="AU3" s="4">
        <v>5.0</v>
      </c>
      <c r="AV3" s="4">
        <v>5.0</v>
      </c>
      <c r="AW3" s="4">
        <v>5.0</v>
      </c>
      <c r="AX3" s="4">
        <v>5.0</v>
      </c>
      <c r="AY3" s="4">
        <v>5.0</v>
      </c>
      <c r="AZ3" s="4">
        <v>5.0</v>
      </c>
      <c r="BA3" s="4">
        <v>5.0</v>
      </c>
      <c r="BB3" s="4">
        <v>5.0</v>
      </c>
      <c r="BC3" s="4">
        <v>5.0</v>
      </c>
      <c r="BD3" s="4">
        <v>5.0</v>
      </c>
      <c r="BE3" s="4">
        <v>5.0</v>
      </c>
      <c r="BF3" s="4">
        <v>5.0</v>
      </c>
      <c r="BG3" s="4">
        <v>5.0</v>
      </c>
      <c r="BH3" s="4">
        <v>5.0</v>
      </c>
      <c r="BI3" s="4">
        <v>5.0</v>
      </c>
      <c r="BJ3" s="4">
        <v>5.0</v>
      </c>
      <c r="BK3" s="4">
        <v>5.0</v>
      </c>
      <c r="BL3" s="4">
        <v>5.0</v>
      </c>
      <c r="BM3" s="4">
        <v>5.0</v>
      </c>
      <c r="BN3" s="4">
        <v>5.0</v>
      </c>
      <c r="BO3" s="4">
        <v>5.0</v>
      </c>
      <c r="BP3" s="4">
        <v>5.0</v>
      </c>
      <c r="BQ3" s="4">
        <v>5.0</v>
      </c>
      <c r="BR3" s="4">
        <v>5.0</v>
      </c>
      <c r="BS3" s="4">
        <v>5.0</v>
      </c>
      <c r="BT3" s="4">
        <v>5.0</v>
      </c>
      <c r="BU3" s="4">
        <v>5.0</v>
      </c>
      <c r="BV3" s="4">
        <v>5.0</v>
      </c>
      <c r="BW3" s="4">
        <v>5.0</v>
      </c>
      <c r="BX3" s="4">
        <v>5.0</v>
      </c>
      <c r="BY3" s="4">
        <v>5.0</v>
      </c>
      <c r="BZ3" s="4">
        <v>5.0</v>
      </c>
      <c r="CA3" s="4">
        <v>5.0</v>
      </c>
      <c r="CB3" s="4">
        <v>5.0</v>
      </c>
      <c r="CC3" s="4">
        <v>5.0</v>
      </c>
      <c r="CD3" s="4">
        <v>5.0</v>
      </c>
      <c r="CE3" s="4">
        <v>5.0</v>
      </c>
      <c r="CF3" s="4">
        <v>5.0</v>
      </c>
      <c r="CG3" s="4">
        <v>5.0</v>
      </c>
      <c r="CH3" s="4">
        <v>5.0</v>
      </c>
      <c r="CI3" s="4">
        <v>5.0</v>
      </c>
      <c r="CJ3" s="4">
        <v>5.0</v>
      </c>
      <c r="CK3" s="4">
        <v>5.0</v>
      </c>
      <c r="CL3" s="4">
        <v>5.0</v>
      </c>
      <c r="CM3" s="4">
        <v>5.0</v>
      </c>
      <c r="CN3" s="4">
        <v>5.0</v>
      </c>
      <c r="CO3" s="4">
        <v>5.0</v>
      </c>
      <c r="CP3" s="4">
        <v>5.0</v>
      </c>
      <c r="CQ3" s="4">
        <v>5.0</v>
      </c>
      <c r="CR3" s="4">
        <v>5.0</v>
      </c>
      <c r="CS3" s="4">
        <v>5.0</v>
      </c>
      <c r="CT3" s="4">
        <v>5.0</v>
      </c>
      <c r="CU3" s="4">
        <v>5.0</v>
      </c>
      <c r="CV3" s="4">
        <v>5.0</v>
      </c>
      <c r="CW3" s="4">
        <v>5.0</v>
      </c>
      <c r="CX3" s="4">
        <v>5.0</v>
      </c>
      <c r="CY3" s="4">
        <v>5.0</v>
      </c>
      <c r="CZ3" s="4">
        <v>5.0</v>
      </c>
      <c r="DA3" s="4">
        <v>5.0</v>
      </c>
      <c r="DB3" s="4">
        <v>5.0</v>
      </c>
      <c r="DC3" s="4">
        <v>5.0</v>
      </c>
      <c r="DD3" s="4">
        <v>5.0</v>
      </c>
      <c r="DE3" s="4">
        <v>5.0</v>
      </c>
      <c r="DF3" s="4">
        <v>5.0</v>
      </c>
      <c r="DG3" s="4">
        <v>5.0</v>
      </c>
      <c r="DH3" s="4">
        <v>4.0</v>
      </c>
      <c r="DI3" s="4">
        <v>5.0</v>
      </c>
      <c r="DJ3" s="4">
        <v>5.0</v>
      </c>
    </row>
    <row r="4" ht="22.5" customHeight="1">
      <c r="A4" s="3">
        <v>46001.79522912037</v>
      </c>
      <c r="B4" s="4" t="s">
        <v>19</v>
      </c>
      <c r="C4" s="4" t="s">
        <v>15</v>
      </c>
      <c r="D4" s="4" t="s">
        <v>16</v>
      </c>
      <c r="E4" s="4">
        <v>4.0</v>
      </c>
      <c r="F4" s="4">
        <v>5.0</v>
      </c>
      <c r="G4" s="4">
        <v>4.0</v>
      </c>
      <c r="H4" s="4">
        <v>3.0</v>
      </c>
      <c r="I4" s="4">
        <v>4.0</v>
      </c>
      <c r="J4" s="4">
        <v>5.0</v>
      </c>
      <c r="K4" s="4">
        <v>4.0</v>
      </c>
      <c r="L4" s="4">
        <v>4.0</v>
      </c>
      <c r="M4" s="4">
        <v>5.0</v>
      </c>
      <c r="N4" s="4">
        <v>5.0</v>
      </c>
      <c r="O4" s="4">
        <v>5.0</v>
      </c>
      <c r="P4" s="4">
        <v>5.0</v>
      </c>
      <c r="Q4" s="4">
        <v>5.0</v>
      </c>
      <c r="R4" s="4">
        <v>5.0</v>
      </c>
      <c r="S4" s="4">
        <v>4.0</v>
      </c>
      <c r="T4" s="4">
        <v>4.0</v>
      </c>
      <c r="U4" s="4">
        <v>4.0</v>
      </c>
      <c r="V4" s="4">
        <v>3.0</v>
      </c>
      <c r="W4" s="4">
        <v>4.0</v>
      </c>
      <c r="X4" s="4">
        <v>5.0</v>
      </c>
      <c r="Y4" s="4">
        <v>5.0</v>
      </c>
      <c r="Z4" s="4">
        <v>4.0</v>
      </c>
      <c r="AA4" s="4">
        <v>4.0</v>
      </c>
      <c r="AB4" s="4">
        <v>3.0</v>
      </c>
      <c r="AC4" s="4">
        <v>3.0</v>
      </c>
      <c r="AD4" s="4">
        <v>4.0</v>
      </c>
      <c r="AE4" s="4">
        <v>4.0</v>
      </c>
      <c r="AF4" s="4">
        <v>4.0</v>
      </c>
      <c r="AG4" s="4">
        <v>5.0</v>
      </c>
      <c r="AH4" s="4">
        <v>5.0</v>
      </c>
      <c r="AI4" s="4">
        <v>5.0</v>
      </c>
      <c r="AJ4" s="4">
        <v>4.0</v>
      </c>
      <c r="AK4" s="4">
        <v>5.0</v>
      </c>
      <c r="AL4" s="4">
        <v>4.0</v>
      </c>
      <c r="AM4" s="4">
        <v>5.0</v>
      </c>
      <c r="AN4" s="4">
        <v>5.0</v>
      </c>
      <c r="AO4" s="4">
        <v>5.0</v>
      </c>
      <c r="AP4" s="4">
        <v>4.0</v>
      </c>
      <c r="AQ4" s="4">
        <v>4.0</v>
      </c>
      <c r="AR4" s="4">
        <v>5.0</v>
      </c>
      <c r="AS4" s="4">
        <v>5.0</v>
      </c>
      <c r="AT4" s="4">
        <v>5.0</v>
      </c>
      <c r="AU4" s="4">
        <v>5.0</v>
      </c>
      <c r="AV4" s="4">
        <v>5.0</v>
      </c>
      <c r="AW4" s="4">
        <v>5.0</v>
      </c>
      <c r="AX4" s="4">
        <v>5.0</v>
      </c>
      <c r="AY4" s="4">
        <v>5.0</v>
      </c>
      <c r="AZ4" s="4">
        <v>5.0</v>
      </c>
      <c r="BA4" s="4">
        <v>5.0</v>
      </c>
      <c r="BB4" s="4">
        <v>5.0</v>
      </c>
      <c r="BC4" s="4">
        <v>5.0</v>
      </c>
      <c r="BD4" s="4">
        <v>5.0</v>
      </c>
      <c r="BE4" s="4">
        <v>5.0</v>
      </c>
      <c r="BF4" s="4">
        <v>5.0</v>
      </c>
      <c r="BG4" s="4">
        <v>5.0</v>
      </c>
      <c r="BH4" s="4">
        <v>5.0</v>
      </c>
      <c r="BI4" s="4">
        <v>5.0</v>
      </c>
      <c r="BJ4" s="4">
        <v>5.0</v>
      </c>
      <c r="BK4" s="4">
        <v>4.0</v>
      </c>
      <c r="BL4" s="4">
        <v>5.0</v>
      </c>
      <c r="BM4" s="4">
        <v>5.0</v>
      </c>
      <c r="BN4" s="4">
        <v>4.0</v>
      </c>
      <c r="BO4" s="4">
        <v>4.0</v>
      </c>
      <c r="BP4" s="4">
        <v>5.0</v>
      </c>
      <c r="BQ4" s="4">
        <v>5.0</v>
      </c>
      <c r="BR4" s="4">
        <v>4.0</v>
      </c>
      <c r="BS4" s="4">
        <v>5.0</v>
      </c>
      <c r="BT4" s="4">
        <v>5.0</v>
      </c>
      <c r="BU4" s="4">
        <v>5.0</v>
      </c>
      <c r="BV4" s="4">
        <v>5.0</v>
      </c>
      <c r="BW4" s="4">
        <v>4.0</v>
      </c>
      <c r="BX4" s="4">
        <v>3.0</v>
      </c>
      <c r="BY4" s="4">
        <v>5.0</v>
      </c>
      <c r="BZ4" s="4">
        <v>5.0</v>
      </c>
      <c r="CA4" s="4">
        <v>3.0</v>
      </c>
      <c r="CB4" s="4">
        <v>4.0</v>
      </c>
      <c r="CC4" s="4">
        <v>4.0</v>
      </c>
      <c r="CD4" s="4">
        <v>4.0</v>
      </c>
      <c r="CE4" s="4">
        <v>4.0</v>
      </c>
      <c r="CF4" s="4">
        <v>4.0</v>
      </c>
      <c r="CG4" s="4">
        <v>5.0</v>
      </c>
      <c r="CH4" s="4">
        <v>5.0</v>
      </c>
      <c r="CI4" s="4">
        <v>5.0</v>
      </c>
      <c r="CJ4" s="4">
        <v>5.0</v>
      </c>
      <c r="CK4" s="4">
        <v>5.0</v>
      </c>
      <c r="CL4" s="4">
        <v>5.0</v>
      </c>
      <c r="CM4" s="4">
        <v>5.0</v>
      </c>
      <c r="CN4" s="4">
        <v>5.0</v>
      </c>
      <c r="CO4" s="4">
        <v>5.0</v>
      </c>
      <c r="CP4" s="4">
        <v>5.0</v>
      </c>
      <c r="CQ4" s="4">
        <v>5.0</v>
      </c>
      <c r="CR4" s="4">
        <v>5.0</v>
      </c>
      <c r="CS4" s="4">
        <v>5.0</v>
      </c>
      <c r="CT4" s="4">
        <v>5.0</v>
      </c>
      <c r="CU4" s="4">
        <v>5.0</v>
      </c>
      <c r="CV4" s="4">
        <v>5.0</v>
      </c>
      <c r="CW4" s="4">
        <v>5.0</v>
      </c>
      <c r="CX4" s="4">
        <v>5.0</v>
      </c>
      <c r="CY4" s="4">
        <v>5.0</v>
      </c>
      <c r="CZ4" s="4">
        <v>5.0</v>
      </c>
      <c r="DA4" s="4">
        <v>5.0</v>
      </c>
      <c r="DB4" s="4">
        <v>5.0</v>
      </c>
      <c r="DC4" s="4">
        <v>5.0</v>
      </c>
      <c r="DD4" s="4">
        <v>5.0</v>
      </c>
      <c r="DE4" s="4">
        <v>4.0</v>
      </c>
      <c r="DF4" s="4">
        <v>5.0</v>
      </c>
      <c r="DG4" s="4">
        <v>5.0</v>
      </c>
      <c r="DH4" s="4">
        <v>5.0</v>
      </c>
      <c r="DI4" s="4">
        <v>4.0</v>
      </c>
      <c r="DJ4" s="4">
        <v>5.0</v>
      </c>
    </row>
    <row r="5" ht="22.5" customHeight="1">
      <c r="A5" s="3">
        <v>46001.83936086806</v>
      </c>
      <c r="B5" s="4" t="s">
        <v>20</v>
      </c>
      <c r="C5" s="4" t="s">
        <v>15</v>
      </c>
      <c r="D5" s="4" t="s">
        <v>21</v>
      </c>
      <c r="E5" s="4">
        <v>2.0</v>
      </c>
      <c r="F5" s="4">
        <v>2.0</v>
      </c>
      <c r="G5" s="4">
        <v>5.0</v>
      </c>
      <c r="H5" s="4">
        <v>5.0</v>
      </c>
      <c r="I5" s="4">
        <v>5.0</v>
      </c>
      <c r="J5" s="4">
        <v>5.0</v>
      </c>
      <c r="K5" s="4">
        <v>4.0</v>
      </c>
      <c r="L5" s="4">
        <v>3.0</v>
      </c>
      <c r="M5" s="4">
        <v>2.0</v>
      </c>
      <c r="N5" s="4">
        <v>5.0</v>
      </c>
      <c r="O5" s="4">
        <v>5.0</v>
      </c>
      <c r="P5" s="4">
        <v>5.0</v>
      </c>
      <c r="Q5" s="4">
        <v>5.0</v>
      </c>
      <c r="R5" s="4">
        <v>5.0</v>
      </c>
      <c r="S5" s="4">
        <v>5.0</v>
      </c>
      <c r="T5" s="4">
        <v>5.0</v>
      </c>
      <c r="U5" s="4">
        <v>5.0</v>
      </c>
      <c r="V5" s="4">
        <v>5.0</v>
      </c>
      <c r="W5" s="4">
        <v>5.0</v>
      </c>
      <c r="X5" s="4">
        <v>5.0</v>
      </c>
      <c r="Y5" s="4">
        <v>4.0</v>
      </c>
      <c r="Z5" s="4">
        <v>4.0</v>
      </c>
      <c r="AA5" s="4">
        <v>5.0</v>
      </c>
      <c r="AB5" s="4">
        <v>3.0</v>
      </c>
      <c r="AC5" s="4">
        <v>4.0</v>
      </c>
      <c r="AD5" s="4">
        <v>5.0</v>
      </c>
      <c r="AE5" s="4">
        <v>3.0</v>
      </c>
      <c r="AF5" s="4">
        <v>3.0</v>
      </c>
      <c r="AG5" s="4">
        <v>4.0</v>
      </c>
      <c r="AH5" s="4">
        <v>5.0</v>
      </c>
      <c r="AI5" s="4">
        <v>4.0</v>
      </c>
      <c r="AJ5" s="4">
        <v>4.0</v>
      </c>
      <c r="AK5" s="4">
        <v>4.0</v>
      </c>
      <c r="AL5" s="4">
        <v>4.0</v>
      </c>
      <c r="AM5" s="4">
        <v>4.0</v>
      </c>
      <c r="AN5" s="4">
        <v>4.0</v>
      </c>
      <c r="AO5" s="4">
        <v>4.0</v>
      </c>
      <c r="AP5" s="4">
        <v>4.0</v>
      </c>
      <c r="AQ5" s="4">
        <v>4.0</v>
      </c>
      <c r="AR5" s="4">
        <v>4.0</v>
      </c>
      <c r="AS5" s="4">
        <v>5.0</v>
      </c>
      <c r="AT5" s="4">
        <v>5.0</v>
      </c>
      <c r="AU5" s="4">
        <v>5.0</v>
      </c>
      <c r="AV5" s="4">
        <v>5.0</v>
      </c>
      <c r="AW5" s="4">
        <v>5.0</v>
      </c>
      <c r="AX5" s="4">
        <v>5.0</v>
      </c>
      <c r="AY5" s="4">
        <v>5.0</v>
      </c>
      <c r="AZ5" s="4">
        <v>5.0</v>
      </c>
      <c r="BA5" s="4">
        <v>5.0</v>
      </c>
      <c r="BB5" s="4">
        <v>5.0</v>
      </c>
      <c r="BC5" s="4">
        <v>5.0</v>
      </c>
      <c r="BD5" s="4">
        <v>5.0</v>
      </c>
      <c r="BE5" s="4">
        <v>5.0</v>
      </c>
      <c r="BF5" s="4">
        <v>5.0</v>
      </c>
      <c r="BG5" s="4">
        <v>2.0</v>
      </c>
      <c r="BH5" s="4">
        <v>5.0</v>
      </c>
      <c r="BI5" s="4">
        <v>5.0</v>
      </c>
      <c r="BJ5" s="4">
        <v>5.0</v>
      </c>
      <c r="BK5" s="4">
        <v>1.0</v>
      </c>
      <c r="BL5" s="4">
        <v>5.0</v>
      </c>
      <c r="BM5" s="4">
        <v>2.0</v>
      </c>
      <c r="BN5" s="4">
        <v>2.0</v>
      </c>
      <c r="BO5" s="4">
        <v>5.0</v>
      </c>
      <c r="BP5" s="4">
        <v>2.0</v>
      </c>
      <c r="BQ5" s="4">
        <v>5.0</v>
      </c>
      <c r="BR5" s="4">
        <v>2.0</v>
      </c>
      <c r="BS5" s="4">
        <v>2.0</v>
      </c>
      <c r="BT5" s="4">
        <v>4.0</v>
      </c>
      <c r="BU5" s="4">
        <v>4.0</v>
      </c>
      <c r="BV5" s="4">
        <v>2.0</v>
      </c>
      <c r="BW5" s="4">
        <v>5.0</v>
      </c>
      <c r="BX5" s="4">
        <v>5.0</v>
      </c>
      <c r="BY5" s="4">
        <v>5.0</v>
      </c>
      <c r="BZ5" s="4">
        <v>5.0</v>
      </c>
      <c r="CA5" s="4">
        <v>5.0</v>
      </c>
      <c r="CB5" s="4">
        <v>5.0</v>
      </c>
      <c r="CC5" s="4">
        <v>5.0</v>
      </c>
      <c r="CD5" s="4">
        <v>5.0</v>
      </c>
      <c r="CE5" s="4">
        <v>5.0</v>
      </c>
      <c r="CF5" s="4">
        <v>5.0</v>
      </c>
      <c r="CG5" s="4">
        <v>5.0</v>
      </c>
      <c r="CH5" s="4">
        <v>5.0</v>
      </c>
      <c r="CI5" s="4">
        <v>5.0</v>
      </c>
      <c r="CJ5" s="4">
        <v>5.0</v>
      </c>
      <c r="CK5" s="4">
        <v>5.0</v>
      </c>
      <c r="CL5" s="4">
        <v>5.0</v>
      </c>
      <c r="CM5" s="4">
        <v>5.0</v>
      </c>
      <c r="CN5" s="4">
        <v>5.0</v>
      </c>
      <c r="CO5" s="4">
        <v>5.0</v>
      </c>
      <c r="CP5" s="4">
        <v>5.0</v>
      </c>
      <c r="CQ5" s="4">
        <v>5.0</v>
      </c>
      <c r="CR5" s="4">
        <v>5.0</v>
      </c>
      <c r="CS5" s="4">
        <v>5.0</v>
      </c>
      <c r="CT5" s="4">
        <v>5.0</v>
      </c>
      <c r="CU5" s="4">
        <v>5.0</v>
      </c>
      <c r="CV5" s="4">
        <v>5.0</v>
      </c>
      <c r="CW5" s="4">
        <v>5.0</v>
      </c>
      <c r="CX5" s="4">
        <v>5.0</v>
      </c>
      <c r="CY5" s="4">
        <v>5.0</v>
      </c>
      <c r="CZ5" s="4">
        <v>5.0</v>
      </c>
      <c r="DA5" s="4">
        <v>3.0</v>
      </c>
      <c r="DB5" s="4">
        <v>2.0</v>
      </c>
      <c r="DC5" s="4">
        <v>5.0</v>
      </c>
      <c r="DD5" s="4">
        <v>5.0</v>
      </c>
      <c r="DE5" s="4">
        <v>2.0</v>
      </c>
      <c r="DF5" s="4">
        <v>5.0</v>
      </c>
      <c r="DG5" s="4">
        <v>3.0</v>
      </c>
      <c r="DH5" s="4">
        <v>3.0</v>
      </c>
      <c r="DI5" s="4">
        <v>2.0</v>
      </c>
      <c r="DJ5" s="4">
        <v>5.0</v>
      </c>
    </row>
    <row r="6" ht="22.5" customHeight="1">
      <c r="A6" s="3">
        <v>46002.34601770833</v>
      </c>
      <c r="B6" s="4" t="s">
        <v>20</v>
      </c>
      <c r="C6" s="4" t="s">
        <v>22</v>
      </c>
      <c r="D6" s="4" t="s">
        <v>23</v>
      </c>
      <c r="E6" s="4">
        <v>4.0</v>
      </c>
      <c r="F6" s="4">
        <v>4.0</v>
      </c>
      <c r="G6" s="4">
        <v>4.0</v>
      </c>
      <c r="H6" s="4">
        <v>4.0</v>
      </c>
      <c r="I6" s="4">
        <v>4.0</v>
      </c>
      <c r="J6" s="4">
        <v>4.0</v>
      </c>
      <c r="K6" s="4">
        <v>3.0</v>
      </c>
      <c r="L6" s="4">
        <v>4.0</v>
      </c>
      <c r="M6" s="4">
        <v>3.0</v>
      </c>
      <c r="N6" s="4">
        <v>4.0</v>
      </c>
      <c r="O6" s="4">
        <v>3.0</v>
      </c>
      <c r="P6" s="4">
        <v>3.0</v>
      </c>
      <c r="Q6" s="4">
        <v>3.0</v>
      </c>
      <c r="R6" s="4">
        <v>3.0</v>
      </c>
      <c r="S6" s="4">
        <v>4.0</v>
      </c>
      <c r="T6" s="4">
        <v>3.0</v>
      </c>
      <c r="U6" s="4">
        <v>3.0</v>
      </c>
      <c r="V6" s="4">
        <v>3.0</v>
      </c>
      <c r="W6" s="4">
        <v>3.0</v>
      </c>
      <c r="X6" s="4">
        <v>3.0</v>
      </c>
      <c r="Y6" s="4">
        <v>3.0</v>
      </c>
      <c r="Z6" s="4">
        <v>3.0</v>
      </c>
      <c r="AA6" s="4">
        <v>3.0</v>
      </c>
      <c r="AB6" s="4">
        <v>3.0</v>
      </c>
      <c r="AC6" s="4">
        <v>3.0</v>
      </c>
      <c r="AD6" s="4">
        <v>4.0</v>
      </c>
      <c r="AE6" s="4">
        <v>4.0</v>
      </c>
      <c r="AF6" s="4">
        <v>4.0</v>
      </c>
      <c r="AG6" s="4">
        <v>3.0</v>
      </c>
      <c r="AH6" s="4">
        <v>3.0</v>
      </c>
      <c r="AI6" s="4">
        <v>3.0</v>
      </c>
      <c r="AJ6" s="4">
        <v>3.0</v>
      </c>
      <c r="AK6" s="4">
        <v>3.0</v>
      </c>
      <c r="AL6" s="4">
        <v>3.0</v>
      </c>
      <c r="AM6" s="4">
        <v>3.0</v>
      </c>
      <c r="AN6" s="4">
        <v>3.0</v>
      </c>
      <c r="AO6" s="4">
        <v>3.0</v>
      </c>
      <c r="AP6" s="4">
        <v>3.0</v>
      </c>
      <c r="AQ6" s="4">
        <v>3.0</v>
      </c>
      <c r="AR6" s="4">
        <v>3.0</v>
      </c>
      <c r="AS6" s="4">
        <v>3.0</v>
      </c>
      <c r="AT6" s="4">
        <v>3.0</v>
      </c>
      <c r="AU6" s="4">
        <v>4.0</v>
      </c>
      <c r="AV6" s="4">
        <v>3.0</v>
      </c>
      <c r="AW6" s="4">
        <v>4.0</v>
      </c>
      <c r="AX6" s="4">
        <v>3.0</v>
      </c>
      <c r="AY6" s="4">
        <v>4.0</v>
      </c>
      <c r="AZ6" s="4">
        <v>3.0</v>
      </c>
      <c r="BA6" s="4">
        <v>4.0</v>
      </c>
      <c r="BB6" s="4">
        <v>4.0</v>
      </c>
      <c r="BC6" s="4">
        <v>3.0</v>
      </c>
      <c r="BD6" s="4">
        <v>3.0</v>
      </c>
      <c r="BE6" s="4">
        <v>3.0</v>
      </c>
      <c r="BF6" s="4">
        <v>4.0</v>
      </c>
      <c r="BG6" s="4">
        <v>3.0</v>
      </c>
      <c r="BH6" s="4">
        <v>4.0</v>
      </c>
      <c r="BI6" s="4">
        <v>4.0</v>
      </c>
      <c r="BJ6" s="4">
        <v>3.0</v>
      </c>
      <c r="BK6" s="4">
        <v>4.0</v>
      </c>
      <c r="BL6" s="4">
        <v>3.0</v>
      </c>
      <c r="BM6" s="4">
        <v>4.0</v>
      </c>
      <c r="BN6" s="4">
        <v>4.0</v>
      </c>
      <c r="BO6" s="4">
        <v>3.0</v>
      </c>
      <c r="BP6" s="4">
        <v>4.0</v>
      </c>
      <c r="BQ6" s="4">
        <v>4.0</v>
      </c>
      <c r="BR6" s="4">
        <v>3.0</v>
      </c>
      <c r="BS6" s="4">
        <v>4.0</v>
      </c>
      <c r="BT6" s="4">
        <v>3.0</v>
      </c>
      <c r="BU6" s="4">
        <v>4.0</v>
      </c>
      <c r="BV6" s="4">
        <v>3.0</v>
      </c>
      <c r="BW6" s="4">
        <v>4.0</v>
      </c>
      <c r="BX6" s="4">
        <v>4.0</v>
      </c>
      <c r="BY6" s="4">
        <v>3.0</v>
      </c>
      <c r="BZ6" s="4">
        <v>4.0</v>
      </c>
      <c r="CA6" s="4">
        <v>3.0</v>
      </c>
      <c r="CB6" s="4">
        <v>4.0</v>
      </c>
      <c r="CC6" s="4">
        <v>4.0</v>
      </c>
      <c r="CD6" s="4">
        <v>3.0</v>
      </c>
      <c r="CE6" s="4">
        <v>4.0</v>
      </c>
      <c r="CF6" s="4">
        <v>4.0</v>
      </c>
      <c r="CG6" s="4">
        <v>4.0</v>
      </c>
      <c r="CH6" s="4">
        <v>4.0</v>
      </c>
      <c r="CI6" s="4">
        <v>3.0</v>
      </c>
      <c r="CJ6" s="4">
        <v>4.0</v>
      </c>
      <c r="CK6" s="4">
        <v>3.0</v>
      </c>
      <c r="CL6" s="4">
        <v>3.0</v>
      </c>
      <c r="CM6" s="4">
        <v>3.0</v>
      </c>
      <c r="CN6" s="4">
        <v>4.0</v>
      </c>
      <c r="CO6" s="4">
        <v>3.0</v>
      </c>
      <c r="CP6" s="4">
        <v>4.0</v>
      </c>
      <c r="CQ6" s="4">
        <v>4.0</v>
      </c>
      <c r="CR6" s="4">
        <v>3.0</v>
      </c>
      <c r="CS6" s="4">
        <v>3.0</v>
      </c>
      <c r="CT6" s="4">
        <v>4.0</v>
      </c>
      <c r="CU6" s="4">
        <v>3.0</v>
      </c>
      <c r="CV6" s="4">
        <v>3.0</v>
      </c>
      <c r="CW6" s="4">
        <v>4.0</v>
      </c>
      <c r="CX6" s="4">
        <v>3.0</v>
      </c>
      <c r="CY6" s="4">
        <v>4.0</v>
      </c>
      <c r="CZ6" s="4">
        <v>4.0</v>
      </c>
      <c r="DA6" s="4">
        <v>4.0</v>
      </c>
      <c r="DB6" s="4">
        <v>4.0</v>
      </c>
      <c r="DC6" s="4">
        <v>3.0</v>
      </c>
      <c r="DD6" s="4">
        <v>3.0</v>
      </c>
      <c r="DE6" s="4">
        <v>4.0</v>
      </c>
      <c r="DF6" s="4">
        <v>3.0</v>
      </c>
      <c r="DG6" s="4">
        <v>4.0</v>
      </c>
      <c r="DH6" s="4">
        <v>3.0</v>
      </c>
      <c r="DI6" s="4">
        <v>4.0</v>
      </c>
      <c r="DJ6" s="4">
        <v>4.0</v>
      </c>
    </row>
    <row r="7" ht="22.5" customHeight="1">
      <c r="A7" s="3">
        <v>46002.36641782407</v>
      </c>
      <c r="B7" s="4" t="s">
        <v>20</v>
      </c>
      <c r="C7" s="4" t="s">
        <v>17</v>
      </c>
      <c r="D7" s="4" t="s">
        <v>18</v>
      </c>
      <c r="E7" s="4">
        <v>5.0</v>
      </c>
      <c r="F7" s="4">
        <v>3.0</v>
      </c>
      <c r="G7" s="4">
        <v>4.0</v>
      </c>
      <c r="H7" s="4">
        <v>4.0</v>
      </c>
      <c r="I7" s="4">
        <v>4.0</v>
      </c>
      <c r="J7" s="4">
        <v>4.0</v>
      </c>
      <c r="K7" s="4">
        <v>4.0</v>
      </c>
      <c r="L7" s="4">
        <v>4.0</v>
      </c>
      <c r="M7" s="4">
        <v>3.0</v>
      </c>
      <c r="N7" s="4">
        <v>4.0</v>
      </c>
      <c r="O7" s="4">
        <v>4.0</v>
      </c>
      <c r="P7" s="4">
        <v>4.0</v>
      </c>
      <c r="Q7" s="4">
        <v>4.0</v>
      </c>
      <c r="R7" s="4">
        <v>3.0</v>
      </c>
      <c r="S7" s="4">
        <v>4.0</v>
      </c>
      <c r="T7" s="4">
        <v>4.0</v>
      </c>
      <c r="U7" s="4">
        <v>4.0</v>
      </c>
      <c r="V7" s="4">
        <v>4.0</v>
      </c>
      <c r="W7" s="4">
        <v>4.0</v>
      </c>
      <c r="X7" s="4">
        <v>3.0</v>
      </c>
      <c r="Y7" s="4">
        <v>4.0</v>
      </c>
      <c r="Z7" s="4">
        <v>4.0</v>
      </c>
      <c r="AA7" s="4">
        <v>4.0</v>
      </c>
      <c r="AB7" s="4">
        <v>4.0</v>
      </c>
      <c r="AC7" s="4">
        <v>4.0</v>
      </c>
      <c r="AD7" s="4">
        <v>4.0</v>
      </c>
      <c r="AE7" s="4">
        <v>4.0</v>
      </c>
      <c r="AF7" s="4">
        <v>3.0</v>
      </c>
      <c r="AG7" s="4">
        <v>4.0</v>
      </c>
      <c r="AH7" s="4">
        <v>4.0</v>
      </c>
      <c r="AI7" s="4">
        <v>4.0</v>
      </c>
      <c r="AJ7" s="4">
        <v>3.0</v>
      </c>
      <c r="AK7" s="4">
        <v>4.0</v>
      </c>
      <c r="AL7" s="4">
        <v>4.0</v>
      </c>
      <c r="AM7" s="4">
        <v>4.0</v>
      </c>
      <c r="AN7" s="4">
        <v>4.0</v>
      </c>
      <c r="AO7" s="4">
        <v>4.0</v>
      </c>
      <c r="AP7" s="4">
        <v>4.0</v>
      </c>
      <c r="AQ7" s="4">
        <v>5.0</v>
      </c>
      <c r="AR7" s="4">
        <v>3.0</v>
      </c>
      <c r="AS7" s="4">
        <v>4.0</v>
      </c>
      <c r="AT7" s="4">
        <v>4.0</v>
      </c>
      <c r="AU7" s="4">
        <v>4.0</v>
      </c>
      <c r="AV7" s="4">
        <v>4.0</v>
      </c>
      <c r="AW7" s="4">
        <v>4.0</v>
      </c>
      <c r="AX7" s="4">
        <v>4.0</v>
      </c>
      <c r="AY7" s="4">
        <v>5.0</v>
      </c>
      <c r="AZ7" s="4">
        <v>5.0</v>
      </c>
      <c r="BA7" s="4">
        <v>4.0</v>
      </c>
      <c r="BB7" s="4">
        <v>4.0</v>
      </c>
      <c r="BC7" s="4">
        <v>3.0</v>
      </c>
      <c r="BD7" s="4">
        <v>4.0</v>
      </c>
      <c r="BE7" s="4">
        <v>3.0</v>
      </c>
      <c r="BF7" s="4">
        <v>4.0</v>
      </c>
      <c r="BG7" s="4">
        <v>4.0</v>
      </c>
      <c r="BH7" s="4">
        <v>4.0</v>
      </c>
      <c r="BI7" s="4">
        <v>4.0</v>
      </c>
      <c r="BJ7" s="4">
        <v>4.0</v>
      </c>
      <c r="BK7" s="4">
        <v>3.0</v>
      </c>
      <c r="BL7" s="4">
        <v>3.0</v>
      </c>
      <c r="BM7" s="4">
        <v>2.0</v>
      </c>
      <c r="BN7" s="4">
        <v>3.0</v>
      </c>
      <c r="BO7" s="4">
        <v>4.0</v>
      </c>
      <c r="BP7" s="4">
        <v>3.0</v>
      </c>
      <c r="BQ7" s="4">
        <v>3.0</v>
      </c>
      <c r="BR7" s="4">
        <v>4.0</v>
      </c>
      <c r="BS7" s="4">
        <v>3.0</v>
      </c>
      <c r="BT7" s="4">
        <v>3.0</v>
      </c>
      <c r="BU7" s="4">
        <v>2.0</v>
      </c>
      <c r="BV7" s="4">
        <v>3.0</v>
      </c>
      <c r="BW7" s="4">
        <v>4.0</v>
      </c>
      <c r="BX7" s="4">
        <v>4.0</v>
      </c>
      <c r="BY7" s="4">
        <v>3.0</v>
      </c>
      <c r="BZ7" s="4">
        <v>4.0</v>
      </c>
      <c r="CA7" s="4">
        <v>3.0</v>
      </c>
      <c r="CB7" s="4">
        <v>4.0</v>
      </c>
      <c r="CC7" s="4">
        <v>4.0</v>
      </c>
      <c r="CD7" s="4">
        <v>4.0</v>
      </c>
      <c r="CE7" s="4">
        <v>4.0</v>
      </c>
      <c r="CF7" s="4">
        <v>3.0</v>
      </c>
      <c r="CG7" s="4">
        <v>4.0</v>
      </c>
      <c r="CH7" s="4">
        <v>4.0</v>
      </c>
      <c r="CI7" s="4">
        <v>5.0</v>
      </c>
      <c r="CJ7" s="4">
        <v>5.0</v>
      </c>
      <c r="CK7" s="4">
        <v>4.0</v>
      </c>
      <c r="CL7" s="4">
        <v>4.0</v>
      </c>
      <c r="CM7" s="4">
        <v>4.0</v>
      </c>
      <c r="CN7" s="4">
        <v>5.0</v>
      </c>
      <c r="CO7" s="4">
        <v>4.0</v>
      </c>
      <c r="CP7" s="4">
        <v>3.0</v>
      </c>
      <c r="CQ7" s="4">
        <v>4.0</v>
      </c>
      <c r="CR7" s="4">
        <v>4.0</v>
      </c>
      <c r="CS7" s="4">
        <v>5.0</v>
      </c>
      <c r="CT7" s="4">
        <v>5.0</v>
      </c>
      <c r="CU7" s="4">
        <v>4.0</v>
      </c>
      <c r="CV7" s="4">
        <v>4.0</v>
      </c>
      <c r="CW7" s="4">
        <v>4.0</v>
      </c>
      <c r="CX7" s="4">
        <v>4.0</v>
      </c>
      <c r="CY7" s="4">
        <v>3.0</v>
      </c>
      <c r="CZ7" s="4">
        <v>4.0</v>
      </c>
      <c r="DA7" s="4">
        <v>4.0</v>
      </c>
      <c r="DB7" s="4">
        <v>4.0</v>
      </c>
      <c r="DC7" s="4">
        <v>4.0</v>
      </c>
      <c r="DD7" s="4">
        <v>4.0</v>
      </c>
      <c r="DE7" s="4">
        <v>4.0</v>
      </c>
      <c r="DF7" s="4">
        <v>4.0</v>
      </c>
      <c r="DG7" s="4">
        <v>3.0</v>
      </c>
      <c r="DH7" s="4">
        <v>2.0</v>
      </c>
      <c r="DI7" s="4">
        <v>4.0</v>
      </c>
      <c r="DJ7" s="4">
        <v>4.0</v>
      </c>
    </row>
    <row r="8" ht="22.5" customHeight="1">
      <c r="A8" s="3">
        <v>46002.59423184028</v>
      </c>
      <c r="B8" s="4" t="s">
        <v>14</v>
      </c>
      <c r="C8" s="4" t="s">
        <v>24</v>
      </c>
      <c r="D8" s="4" t="s">
        <v>21</v>
      </c>
      <c r="E8" s="4">
        <v>5.0</v>
      </c>
      <c r="F8" s="4">
        <v>5.0</v>
      </c>
      <c r="G8" s="4">
        <v>4.0</v>
      </c>
      <c r="H8" s="4">
        <v>4.0</v>
      </c>
      <c r="I8" s="4">
        <v>4.0</v>
      </c>
      <c r="J8" s="4">
        <v>4.0</v>
      </c>
      <c r="K8" s="4">
        <v>5.0</v>
      </c>
      <c r="L8" s="4">
        <v>5.0</v>
      </c>
      <c r="M8" s="4">
        <v>4.0</v>
      </c>
      <c r="N8" s="4">
        <v>4.0</v>
      </c>
      <c r="O8" s="4">
        <v>5.0</v>
      </c>
      <c r="P8" s="4">
        <v>5.0</v>
      </c>
      <c r="Q8" s="4">
        <v>5.0</v>
      </c>
      <c r="R8" s="4">
        <v>5.0</v>
      </c>
      <c r="S8" s="4">
        <v>4.0</v>
      </c>
      <c r="T8" s="4">
        <v>5.0</v>
      </c>
      <c r="U8" s="4">
        <v>5.0</v>
      </c>
      <c r="V8" s="4">
        <v>5.0</v>
      </c>
      <c r="W8" s="4">
        <v>5.0</v>
      </c>
      <c r="X8" s="4">
        <v>5.0</v>
      </c>
      <c r="Y8" s="4">
        <v>5.0</v>
      </c>
      <c r="Z8" s="4">
        <v>5.0</v>
      </c>
      <c r="AA8" s="4">
        <v>5.0</v>
      </c>
      <c r="AB8" s="4">
        <v>5.0</v>
      </c>
      <c r="AC8" s="4">
        <v>4.0</v>
      </c>
      <c r="AD8" s="4">
        <v>5.0</v>
      </c>
      <c r="AE8" s="4">
        <v>5.0</v>
      </c>
      <c r="AF8" s="4">
        <v>5.0</v>
      </c>
      <c r="AG8" s="4">
        <v>4.0</v>
      </c>
      <c r="AH8" s="4">
        <v>4.0</v>
      </c>
      <c r="AI8" s="4">
        <v>5.0</v>
      </c>
      <c r="AJ8" s="4">
        <v>5.0</v>
      </c>
      <c r="AK8" s="4">
        <v>5.0</v>
      </c>
      <c r="AL8" s="4">
        <v>5.0</v>
      </c>
      <c r="AM8" s="4">
        <v>4.0</v>
      </c>
      <c r="AN8" s="4">
        <v>5.0</v>
      </c>
      <c r="AO8" s="4">
        <v>5.0</v>
      </c>
      <c r="AP8" s="4">
        <v>5.0</v>
      </c>
      <c r="AQ8" s="4">
        <v>4.0</v>
      </c>
      <c r="AR8" s="4">
        <v>4.0</v>
      </c>
      <c r="AS8" s="4">
        <v>5.0</v>
      </c>
      <c r="AT8" s="4">
        <v>5.0</v>
      </c>
      <c r="AU8" s="4">
        <v>5.0</v>
      </c>
      <c r="AV8" s="4">
        <v>5.0</v>
      </c>
      <c r="AW8" s="4">
        <v>4.0</v>
      </c>
      <c r="AX8" s="4">
        <v>5.0</v>
      </c>
      <c r="AY8" s="4">
        <v>5.0</v>
      </c>
      <c r="AZ8" s="4">
        <v>5.0</v>
      </c>
      <c r="BA8" s="4">
        <v>4.0</v>
      </c>
      <c r="BB8" s="4">
        <v>4.0</v>
      </c>
      <c r="BC8" s="4">
        <v>5.0</v>
      </c>
      <c r="BD8" s="4">
        <v>5.0</v>
      </c>
      <c r="BE8" s="4">
        <v>5.0</v>
      </c>
      <c r="BF8" s="4">
        <v>5.0</v>
      </c>
      <c r="BG8" s="4">
        <v>4.0</v>
      </c>
      <c r="BH8" s="4">
        <v>5.0</v>
      </c>
      <c r="BI8" s="4">
        <v>5.0</v>
      </c>
      <c r="BJ8" s="4">
        <v>5.0</v>
      </c>
      <c r="BK8" s="4">
        <v>4.0</v>
      </c>
      <c r="BL8" s="4">
        <v>4.0</v>
      </c>
      <c r="BM8" s="4">
        <v>5.0</v>
      </c>
      <c r="BN8" s="4">
        <v>5.0</v>
      </c>
      <c r="BO8" s="4">
        <v>5.0</v>
      </c>
      <c r="BP8" s="4">
        <v>5.0</v>
      </c>
      <c r="BQ8" s="4">
        <v>4.0</v>
      </c>
      <c r="BR8" s="4">
        <v>5.0</v>
      </c>
      <c r="BS8" s="4">
        <v>5.0</v>
      </c>
      <c r="BT8" s="4">
        <v>5.0</v>
      </c>
      <c r="BU8" s="4">
        <v>4.0</v>
      </c>
      <c r="BV8" s="4">
        <v>4.0</v>
      </c>
      <c r="BW8" s="4">
        <v>5.0</v>
      </c>
      <c r="BX8" s="4">
        <v>5.0</v>
      </c>
      <c r="BY8" s="4">
        <v>5.0</v>
      </c>
      <c r="BZ8" s="4">
        <v>5.0</v>
      </c>
      <c r="CA8" s="4">
        <v>4.0</v>
      </c>
      <c r="CB8" s="4">
        <v>5.0</v>
      </c>
      <c r="CC8" s="4">
        <v>5.0</v>
      </c>
      <c r="CD8" s="4">
        <v>5.0</v>
      </c>
      <c r="CE8" s="4">
        <v>4.0</v>
      </c>
      <c r="CF8" s="4">
        <v>4.0</v>
      </c>
      <c r="CG8" s="4">
        <v>5.0</v>
      </c>
      <c r="CH8" s="4">
        <v>5.0</v>
      </c>
      <c r="CI8" s="4">
        <v>5.0</v>
      </c>
      <c r="CJ8" s="4">
        <v>5.0</v>
      </c>
      <c r="CK8" s="4">
        <v>4.0</v>
      </c>
      <c r="CL8" s="4">
        <v>5.0</v>
      </c>
      <c r="CM8" s="4">
        <v>5.0</v>
      </c>
      <c r="CN8" s="4">
        <v>5.0</v>
      </c>
      <c r="CO8" s="4">
        <v>4.0</v>
      </c>
      <c r="CP8" s="4">
        <v>4.0</v>
      </c>
      <c r="CQ8" s="4">
        <v>5.0</v>
      </c>
      <c r="CR8" s="4">
        <v>5.0</v>
      </c>
      <c r="CS8" s="4">
        <v>5.0</v>
      </c>
      <c r="CT8" s="4">
        <v>5.0</v>
      </c>
      <c r="CU8" s="4">
        <v>4.0</v>
      </c>
      <c r="CV8" s="4">
        <v>5.0</v>
      </c>
      <c r="CW8" s="4">
        <v>5.0</v>
      </c>
      <c r="CX8" s="4">
        <v>5.0</v>
      </c>
      <c r="CY8" s="4">
        <v>4.0</v>
      </c>
      <c r="CZ8" s="4">
        <v>4.0</v>
      </c>
      <c r="DA8" s="4">
        <v>5.0</v>
      </c>
      <c r="DB8" s="4">
        <v>5.0</v>
      </c>
      <c r="DC8" s="4">
        <v>5.0</v>
      </c>
      <c r="DD8" s="4">
        <v>5.0</v>
      </c>
      <c r="DE8" s="4">
        <v>4.0</v>
      </c>
      <c r="DF8" s="4">
        <v>5.0</v>
      </c>
      <c r="DG8" s="4">
        <v>5.0</v>
      </c>
      <c r="DH8" s="4">
        <v>5.0</v>
      </c>
      <c r="DI8" s="4">
        <v>4.0</v>
      </c>
      <c r="DJ8" s="4">
        <v>4.0</v>
      </c>
    </row>
    <row r="9" ht="22.5" customHeight="1">
      <c r="A9" s="3">
        <v>46002.62723104167</v>
      </c>
      <c r="B9" s="4" t="s">
        <v>20</v>
      </c>
      <c r="C9" s="4" t="s">
        <v>15</v>
      </c>
      <c r="D9" s="4" t="s">
        <v>16</v>
      </c>
      <c r="E9" s="4">
        <v>3.0</v>
      </c>
      <c r="F9" s="4">
        <v>2.0</v>
      </c>
      <c r="G9" s="4">
        <v>5.0</v>
      </c>
      <c r="H9" s="4">
        <v>4.0</v>
      </c>
      <c r="I9" s="4">
        <v>4.0</v>
      </c>
      <c r="J9" s="4">
        <v>2.0</v>
      </c>
      <c r="K9" s="4">
        <v>3.0</v>
      </c>
      <c r="L9" s="4">
        <v>3.0</v>
      </c>
      <c r="M9" s="4">
        <v>2.0</v>
      </c>
      <c r="N9" s="4">
        <v>1.0</v>
      </c>
      <c r="O9" s="4">
        <v>5.0</v>
      </c>
      <c r="P9" s="4">
        <v>4.0</v>
      </c>
      <c r="Q9" s="4">
        <v>3.0</v>
      </c>
      <c r="R9" s="4">
        <v>3.0</v>
      </c>
      <c r="S9" s="4">
        <v>4.0</v>
      </c>
      <c r="T9" s="4">
        <v>3.0</v>
      </c>
      <c r="U9" s="4">
        <v>4.0</v>
      </c>
      <c r="V9" s="4">
        <v>3.0</v>
      </c>
      <c r="W9" s="4">
        <v>3.0</v>
      </c>
      <c r="X9" s="4">
        <v>3.0</v>
      </c>
      <c r="Y9" s="4">
        <v>5.0</v>
      </c>
      <c r="Z9" s="4">
        <v>5.0</v>
      </c>
      <c r="AA9" s="4">
        <v>4.0</v>
      </c>
      <c r="AB9" s="4">
        <v>3.0</v>
      </c>
      <c r="AC9" s="4">
        <v>3.0</v>
      </c>
      <c r="AD9" s="4">
        <v>4.0</v>
      </c>
      <c r="AE9" s="4">
        <v>4.0</v>
      </c>
      <c r="AF9" s="4">
        <v>4.0</v>
      </c>
      <c r="AG9" s="4">
        <v>3.0</v>
      </c>
      <c r="AH9" s="4">
        <v>3.0</v>
      </c>
      <c r="AI9" s="4">
        <v>4.0</v>
      </c>
      <c r="AJ9" s="4">
        <v>4.0</v>
      </c>
      <c r="AK9" s="4">
        <v>3.0</v>
      </c>
      <c r="AL9" s="4">
        <v>3.0</v>
      </c>
      <c r="AM9" s="4">
        <v>3.0</v>
      </c>
      <c r="AN9" s="4">
        <v>5.0</v>
      </c>
      <c r="AO9" s="4">
        <v>5.0</v>
      </c>
      <c r="AP9" s="4">
        <v>5.0</v>
      </c>
      <c r="AQ9" s="4">
        <v>3.0</v>
      </c>
      <c r="AR9" s="4">
        <v>3.0</v>
      </c>
      <c r="AS9" s="4">
        <v>5.0</v>
      </c>
      <c r="AT9" s="4">
        <v>5.0</v>
      </c>
      <c r="AU9" s="4">
        <v>5.0</v>
      </c>
      <c r="AV9" s="4">
        <v>5.0</v>
      </c>
      <c r="AW9" s="4">
        <v>3.0</v>
      </c>
      <c r="AX9" s="4">
        <v>5.0</v>
      </c>
      <c r="AY9" s="4">
        <v>5.0</v>
      </c>
      <c r="AZ9" s="4">
        <v>5.0</v>
      </c>
      <c r="BA9" s="4">
        <v>3.0</v>
      </c>
      <c r="BB9" s="4">
        <v>3.0</v>
      </c>
      <c r="BC9" s="4">
        <v>5.0</v>
      </c>
      <c r="BD9" s="4">
        <v>5.0</v>
      </c>
      <c r="BE9" s="4">
        <v>4.0</v>
      </c>
      <c r="BF9" s="4">
        <v>5.0</v>
      </c>
      <c r="BG9" s="4">
        <v>3.0</v>
      </c>
      <c r="BH9" s="4">
        <v>5.0</v>
      </c>
      <c r="BI9" s="4">
        <v>5.0</v>
      </c>
      <c r="BJ9" s="4">
        <v>5.0</v>
      </c>
      <c r="BK9" s="4">
        <v>3.0</v>
      </c>
      <c r="BL9" s="4">
        <v>3.0</v>
      </c>
      <c r="BM9" s="4">
        <v>5.0</v>
      </c>
      <c r="BN9" s="4">
        <v>5.0</v>
      </c>
      <c r="BO9" s="4">
        <v>5.0</v>
      </c>
      <c r="BP9" s="4">
        <v>5.0</v>
      </c>
      <c r="BQ9" s="4">
        <v>4.0</v>
      </c>
      <c r="BR9" s="4">
        <v>5.0</v>
      </c>
      <c r="BS9" s="4">
        <v>5.0</v>
      </c>
      <c r="BT9" s="4">
        <v>4.0</v>
      </c>
      <c r="BU9" s="4">
        <v>2.0</v>
      </c>
      <c r="BV9" s="4">
        <v>2.0</v>
      </c>
      <c r="BW9" s="4">
        <v>5.0</v>
      </c>
      <c r="BX9" s="4">
        <v>5.0</v>
      </c>
      <c r="BY9" s="4">
        <v>5.0</v>
      </c>
      <c r="BZ9" s="4">
        <v>3.0</v>
      </c>
      <c r="CA9" s="4">
        <v>3.0</v>
      </c>
      <c r="CB9" s="4">
        <v>5.0</v>
      </c>
      <c r="CC9" s="4">
        <v>5.0</v>
      </c>
      <c r="CD9" s="4">
        <v>5.0</v>
      </c>
      <c r="CE9" s="4">
        <v>4.0</v>
      </c>
      <c r="CF9" s="4">
        <v>4.0</v>
      </c>
      <c r="CG9" s="4">
        <v>5.0</v>
      </c>
      <c r="CH9" s="4">
        <v>5.0</v>
      </c>
      <c r="CI9" s="4">
        <v>5.0</v>
      </c>
      <c r="CJ9" s="4">
        <v>4.0</v>
      </c>
      <c r="CK9" s="4">
        <v>2.0</v>
      </c>
      <c r="CL9" s="4">
        <v>5.0</v>
      </c>
      <c r="CM9" s="4">
        <v>4.0</v>
      </c>
      <c r="CN9" s="4">
        <v>5.0</v>
      </c>
      <c r="CO9" s="4">
        <v>4.0</v>
      </c>
      <c r="CP9" s="4">
        <v>4.0</v>
      </c>
      <c r="CQ9" s="4">
        <v>5.0</v>
      </c>
      <c r="CR9" s="4">
        <v>5.0</v>
      </c>
      <c r="CS9" s="4">
        <v>5.0</v>
      </c>
      <c r="CT9" s="4">
        <v>4.0</v>
      </c>
      <c r="CU9" s="4">
        <v>4.0</v>
      </c>
      <c r="CV9" s="4">
        <v>4.0</v>
      </c>
      <c r="CW9" s="4">
        <v>4.0</v>
      </c>
      <c r="CX9" s="4">
        <v>5.0</v>
      </c>
      <c r="CY9" s="4">
        <v>3.0</v>
      </c>
      <c r="CZ9" s="4">
        <v>3.0</v>
      </c>
      <c r="DA9" s="4">
        <v>5.0</v>
      </c>
      <c r="DB9" s="4">
        <v>5.0</v>
      </c>
      <c r="DC9" s="4">
        <v>4.0</v>
      </c>
      <c r="DD9" s="4">
        <v>3.0</v>
      </c>
      <c r="DE9" s="4">
        <v>3.0</v>
      </c>
      <c r="DF9" s="4">
        <v>5.0</v>
      </c>
      <c r="DG9" s="4">
        <v>5.0</v>
      </c>
      <c r="DH9" s="4">
        <v>5.0</v>
      </c>
      <c r="DI9" s="4">
        <v>3.0</v>
      </c>
      <c r="DJ9" s="4">
        <v>3.0</v>
      </c>
    </row>
    <row r="10" ht="22.5" customHeight="1">
      <c r="A10" s="3">
        <v>46002.62918370371</v>
      </c>
      <c r="B10" s="4" t="s">
        <v>14</v>
      </c>
      <c r="C10" s="4" t="s">
        <v>17</v>
      </c>
      <c r="D10" s="4" t="s">
        <v>18</v>
      </c>
      <c r="E10" s="4">
        <v>5.0</v>
      </c>
      <c r="F10" s="4">
        <v>5.0</v>
      </c>
      <c r="G10" s="4">
        <v>5.0</v>
      </c>
      <c r="H10" s="4">
        <v>3.0</v>
      </c>
      <c r="I10" s="4">
        <v>5.0</v>
      </c>
      <c r="J10" s="4">
        <v>4.0</v>
      </c>
      <c r="K10" s="4">
        <v>5.0</v>
      </c>
      <c r="L10" s="4">
        <v>5.0</v>
      </c>
      <c r="M10" s="4">
        <v>4.0</v>
      </c>
      <c r="N10" s="4">
        <v>3.0</v>
      </c>
      <c r="O10" s="4">
        <v>5.0</v>
      </c>
      <c r="P10" s="4">
        <v>5.0</v>
      </c>
      <c r="Q10" s="4">
        <v>5.0</v>
      </c>
      <c r="R10" s="4">
        <v>5.0</v>
      </c>
      <c r="S10" s="4">
        <v>5.0</v>
      </c>
      <c r="T10" s="4">
        <v>5.0</v>
      </c>
      <c r="U10" s="4">
        <v>5.0</v>
      </c>
      <c r="V10" s="4">
        <v>5.0</v>
      </c>
      <c r="W10" s="4">
        <v>5.0</v>
      </c>
      <c r="X10" s="4">
        <v>5.0</v>
      </c>
      <c r="Y10" s="4">
        <v>3.0</v>
      </c>
      <c r="Z10" s="4">
        <v>3.0</v>
      </c>
      <c r="AA10" s="4">
        <v>4.0</v>
      </c>
      <c r="AB10" s="4">
        <v>2.0</v>
      </c>
      <c r="AC10" s="4">
        <v>2.0</v>
      </c>
      <c r="AD10" s="4">
        <v>4.0</v>
      </c>
      <c r="AE10" s="4">
        <v>3.0</v>
      </c>
      <c r="AF10" s="4">
        <v>4.0</v>
      </c>
      <c r="AG10" s="4">
        <v>4.0</v>
      </c>
      <c r="AH10" s="4">
        <v>2.0</v>
      </c>
      <c r="AI10" s="4">
        <v>5.0</v>
      </c>
      <c r="AJ10" s="4">
        <v>5.0</v>
      </c>
      <c r="AK10" s="4">
        <v>4.0</v>
      </c>
      <c r="AL10" s="4">
        <v>4.0</v>
      </c>
      <c r="AM10" s="4">
        <v>5.0</v>
      </c>
      <c r="AN10" s="4">
        <v>5.0</v>
      </c>
      <c r="AO10" s="4">
        <v>5.0</v>
      </c>
      <c r="AP10" s="4">
        <v>5.0</v>
      </c>
      <c r="AQ10" s="4">
        <v>5.0</v>
      </c>
      <c r="AR10" s="4">
        <v>5.0</v>
      </c>
      <c r="AS10" s="4">
        <v>4.0</v>
      </c>
      <c r="AT10" s="4">
        <v>5.0</v>
      </c>
      <c r="AU10" s="4">
        <v>5.0</v>
      </c>
      <c r="AV10" s="4">
        <v>5.0</v>
      </c>
      <c r="AW10" s="4">
        <v>5.0</v>
      </c>
      <c r="AX10" s="4">
        <v>5.0</v>
      </c>
      <c r="AY10" s="4">
        <v>4.0</v>
      </c>
      <c r="AZ10" s="4">
        <v>5.0</v>
      </c>
      <c r="BA10" s="4">
        <v>5.0</v>
      </c>
      <c r="BB10" s="4">
        <v>5.0</v>
      </c>
      <c r="BC10" s="4">
        <v>5.0</v>
      </c>
      <c r="BD10" s="4">
        <v>5.0</v>
      </c>
      <c r="BE10" s="4">
        <v>5.0</v>
      </c>
      <c r="BF10" s="4">
        <v>5.0</v>
      </c>
      <c r="BG10" s="4">
        <v>4.0</v>
      </c>
      <c r="BH10" s="4">
        <v>5.0</v>
      </c>
      <c r="BI10" s="4">
        <v>5.0</v>
      </c>
      <c r="BJ10" s="4">
        <v>5.0</v>
      </c>
      <c r="BK10" s="4">
        <v>5.0</v>
      </c>
      <c r="BL10" s="4">
        <v>5.0</v>
      </c>
      <c r="BM10" s="4">
        <v>5.0</v>
      </c>
      <c r="BN10" s="4">
        <v>5.0</v>
      </c>
      <c r="BO10" s="4">
        <v>4.0</v>
      </c>
      <c r="BP10" s="4">
        <v>4.0</v>
      </c>
      <c r="BQ10" s="4">
        <v>3.0</v>
      </c>
      <c r="BR10" s="4">
        <v>5.0</v>
      </c>
      <c r="BS10" s="4">
        <v>5.0</v>
      </c>
      <c r="BT10" s="4">
        <v>5.0</v>
      </c>
      <c r="BU10" s="4">
        <v>5.0</v>
      </c>
      <c r="BV10" s="4">
        <v>4.0</v>
      </c>
      <c r="BW10" s="4">
        <v>5.0</v>
      </c>
      <c r="BX10" s="4">
        <v>5.0</v>
      </c>
      <c r="BY10" s="4">
        <v>5.0</v>
      </c>
      <c r="BZ10" s="4">
        <v>5.0</v>
      </c>
      <c r="CA10" s="4">
        <v>5.0</v>
      </c>
      <c r="CB10" s="4">
        <v>5.0</v>
      </c>
      <c r="CC10" s="4">
        <v>5.0</v>
      </c>
      <c r="CD10" s="4">
        <v>5.0</v>
      </c>
      <c r="CE10" s="4">
        <v>5.0</v>
      </c>
      <c r="CF10" s="4">
        <v>5.0</v>
      </c>
      <c r="CG10" s="4">
        <v>5.0</v>
      </c>
      <c r="CH10" s="4">
        <v>5.0</v>
      </c>
      <c r="CI10" s="4">
        <v>5.0</v>
      </c>
      <c r="CJ10" s="4">
        <v>5.0</v>
      </c>
      <c r="CK10" s="4">
        <v>5.0</v>
      </c>
      <c r="CL10" s="4">
        <v>5.0</v>
      </c>
      <c r="CM10" s="4">
        <v>5.0</v>
      </c>
      <c r="CN10" s="4">
        <v>5.0</v>
      </c>
      <c r="CO10" s="4">
        <v>4.0</v>
      </c>
      <c r="CP10" s="4">
        <v>5.0</v>
      </c>
      <c r="CQ10" s="4">
        <v>5.0</v>
      </c>
      <c r="CR10" s="4">
        <v>5.0</v>
      </c>
      <c r="CS10" s="4">
        <v>5.0</v>
      </c>
      <c r="CT10" s="4">
        <v>5.0</v>
      </c>
      <c r="CU10" s="4">
        <v>5.0</v>
      </c>
      <c r="CV10" s="4">
        <v>5.0</v>
      </c>
      <c r="CW10" s="4">
        <v>5.0</v>
      </c>
      <c r="CX10" s="4">
        <v>5.0</v>
      </c>
      <c r="CY10" s="4">
        <v>4.0</v>
      </c>
      <c r="CZ10" s="4">
        <v>4.0</v>
      </c>
      <c r="DA10" s="4">
        <v>5.0</v>
      </c>
      <c r="DB10" s="4">
        <v>5.0</v>
      </c>
      <c r="DC10" s="4">
        <v>5.0</v>
      </c>
      <c r="DD10" s="4">
        <v>5.0</v>
      </c>
      <c r="DE10" s="4">
        <v>5.0</v>
      </c>
      <c r="DF10" s="4">
        <v>5.0</v>
      </c>
      <c r="DG10" s="4">
        <v>5.0</v>
      </c>
      <c r="DH10" s="4">
        <v>5.0</v>
      </c>
      <c r="DI10" s="4">
        <v>5.0</v>
      </c>
      <c r="DJ10" s="4">
        <v>5.0</v>
      </c>
    </row>
    <row r="11" ht="22.5" customHeight="1">
      <c r="A11" s="3">
        <v>46002.63362792824</v>
      </c>
      <c r="B11" s="4" t="s">
        <v>14</v>
      </c>
      <c r="C11" s="4" t="s">
        <v>15</v>
      </c>
      <c r="D11" s="4" t="s">
        <v>21</v>
      </c>
      <c r="E11" s="4">
        <v>4.0</v>
      </c>
      <c r="F11" s="4">
        <v>4.0</v>
      </c>
      <c r="G11" s="4">
        <v>4.0</v>
      </c>
      <c r="H11" s="4">
        <v>3.0</v>
      </c>
      <c r="I11" s="4">
        <v>4.0</v>
      </c>
      <c r="J11" s="4">
        <v>4.0</v>
      </c>
      <c r="K11" s="4">
        <v>3.0</v>
      </c>
      <c r="L11" s="4">
        <v>4.0</v>
      </c>
      <c r="M11" s="4">
        <v>4.0</v>
      </c>
      <c r="N11" s="4">
        <v>4.0</v>
      </c>
      <c r="O11" s="4">
        <v>4.0</v>
      </c>
      <c r="P11" s="4">
        <v>4.0</v>
      </c>
      <c r="Q11" s="4">
        <v>3.0</v>
      </c>
      <c r="R11" s="4">
        <v>4.0</v>
      </c>
      <c r="S11" s="4">
        <v>4.0</v>
      </c>
      <c r="T11" s="4">
        <v>4.0</v>
      </c>
      <c r="U11" s="4">
        <v>4.0</v>
      </c>
      <c r="V11" s="4">
        <v>4.0</v>
      </c>
      <c r="W11" s="4">
        <v>3.0</v>
      </c>
      <c r="X11" s="4">
        <v>4.0</v>
      </c>
      <c r="Y11" s="4">
        <v>4.0</v>
      </c>
      <c r="Z11" s="4">
        <v>4.0</v>
      </c>
      <c r="AA11" s="4">
        <v>4.0</v>
      </c>
      <c r="AB11" s="4">
        <v>3.0</v>
      </c>
      <c r="AC11" s="4">
        <v>4.0</v>
      </c>
      <c r="AD11" s="4">
        <v>4.0</v>
      </c>
      <c r="AE11" s="4">
        <v>4.0</v>
      </c>
      <c r="AF11" s="4">
        <v>4.0</v>
      </c>
      <c r="AG11" s="4">
        <v>3.0</v>
      </c>
      <c r="AH11" s="4">
        <v>4.0</v>
      </c>
      <c r="AI11" s="4">
        <v>4.0</v>
      </c>
      <c r="AJ11" s="4">
        <v>4.0</v>
      </c>
      <c r="AK11" s="4">
        <v>3.0</v>
      </c>
      <c r="AL11" s="4">
        <v>3.0</v>
      </c>
      <c r="AM11" s="4">
        <v>4.0</v>
      </c>
      <c r="AN11" s="4">
        <v>4.0</v>
      </c>
      <c r="AO11" s="4">
        <v>1.0</v>
      </c>
      <c r="AP11" s="4">
        <v>4.0</v>
      </c>
      <c r="AQ11" s="4">
        <v>4.0</v>
      </c>
      <c r="AR11" s="4">
        <v>3.0</v>
      </c>
      <c r="AS11" s="4">
        <v>4.0</v>
      </c>
      <c r="AT11" s="4">
        <v>4.0</v>
      </c>
      <c r="AU11" s="4">
        <v>4.0</v>
      </c>
      <c r="AV11" s="4">
        <v>4.0</v>
      </c>
      <c r="AW11" s="4">
        <v>5.0</v>
      </c>
      <c r="AX11" s="4">
        <v>4.0</v>
      </c>
      <c r="AY11" s="4">
        <v>4.0</v>
      </c>
      <c r="AZ11" s="4">
        <v>5.0</v>
      </c>
      <c r="BA11" s="4">
        <v>4.0</v>
      </c>
      <c r="BB11" s="4">
        <v>5.0</v>
      </c>
      <c r="BC11" s="4">
        <v>5.0</v>
      </c>
      <c r="BD11" s="4">
        <v>5.0</v>
      </c>
      <c r="BE11" s="4">
        <v>4.0</v>
      </c>
      <c r="BF11" s="4">
        <v>5.0</v>
      </c>
      <c r="BG11" s="4">
        <v>5.0</v>
      </c>
      <c r="BH11" s="4">
        <v>4.0</v>
      </c>
      <c r="BI11" s="4">
        <v>1.0</v>
      </c>
      <c r="BJ11" s="4">
        <v>5.0</v>
      </c>
      <c r="BK11" s="4">
        <v>4.0</v>
      </c>
      <c r="BL11" s="4">
        <v>3.0</v>
      </c>
      <c r="BM11" s="4">
        <v>5.0</v>
      </c>
      <c r="BN11" s="4">
        <v>5.0</v>
      </c>
      <c r="BO11" s="4">
        <v>4.0</v>
      </c>
      <c r="BP11" s="4">
        <v>4.0</v>
      </c>
      <c r="BQ11" s="4">
        <v>5.0</v>
      </c>
      <c r="BR11" s="4">
        <v>5.0</v>
      </c>
      <c r="BS11" s="4">
        <v>5.0</v>
      </c>
      <c r="BT11" s="4">
        <v>5.0</v>
      </c>
      <c r="BU11" s="4">
        <v>5.0</v>
      </c>
      <c r="BV11" s="4">
        <v>5.0</v>
      </c>
      <c r="BW11" s="4">
        <v>5.0</v>
      </c>
      <c r="BX11" s="4">
        <v>5.0</v>
      </c>
      <c r="BY11" s="4">
        <v>5.0</v>
      </c>
      <c r="BZ11" s="4">
        <v>5.0</v>
      </c>
      <c r="CA11" s="4">
        <v>5.0</v>
      </c>
      <c r="CB11" s="4">
        <v>5.0</v>
      </c>
      <c r="CC11" s="4">
        <v>4.0</v>
      </c>
      <c r="CD11" s="4">
        <v>5.0</v>
      </c>
      <c r="CE11" s="4">
        <v>4.0</v>
      </c>
      <c r="CF11" s="4">
        <v>4.0</v>
      </c>
      <c r="CG11" s="4">
        <v>4.0</v>
      </c>
      <c r="CH11" s="4">
        <v>5.0</v>
      </c>
      <c r="CI11" s="4">
        <v>4.0</v>
      </c>
      <c r="CJ11" s="4">
        <v>5.0</v>
      </c>
      <c r="CK11" s="4">
        <v>5.0</v>
      </c>
      <c r="CL11" s="4">
        <v>5.0</v>
      </c>
      <c r="CM11" s="4">
        <v>3.0</v>
      </c>
      <c r="CN11" s="4">
        <v>5.0</v>
      </c>
      <c r="CO11" s="4">
        <v>5.0</v>
      </c>
      <c r="CP11" s="4">
        <v>5.0</v>
      </c>
      <c r="CQ11" s="4">
        <v>5.0</v>
      </c>
      <c r="CR11" s="4">
        <v>5.0</v>
      </c>
      <c r="CS11" s="4">
        <v>5.0</v>
      </c>
      <c r="CT11" s="4">
        <v>5.0</v>
      </c>
      <c r="CU11" s="4">
        <v>4.0</v>
      </c>
      <c r="CV11" s="4">
        <v>5.0</v>
      </c>
      <c r="CW11" s="4">
        <v>5.0</v>
      </c>
      <c r="CX11" s="4">
        <v>4.0</v>
      </c>
      <c r="CY11" s="4">
        <v>4.0</v>
      </c>
      <c r="CZ11" s="4">
        <v>4.0</v>
      </c>
      <c r="DA11" s="4">
        <v>5.0</v>
      </c>
      <c r="DB11" s="4">
        <v>4.0</v>
      </c>
      <c r="DC11" s="4">
        <v>4.0</v>
      </c>
      <c r="DD11" s="4">
        <v>4.0</v>
      </c>
      <c r="DE11" s="4">
        <v>5.0</v>
      </c>
      <c r="DF11" s="4">
        <v>5.0</v>
      </c>
      <c r="DG11" s="4">
        <v>4.0</v>
      </c>
      <c r="DH11" s="4">
        <v>4.0</v>
      </c>
      <c r="DI11" s="4">
        <v>4.0</v>
      </c>
      <c r="DJ11" s="4">
        <v>4.0</v>
      </c>
    </row>
    <row r="12" ht="22.5" customHeight="1">
      <c r="A12" s="3">
        <v>46002.63857009259</v>
      </c>
      <c r="B12" s="4" t="s">
        <v>14</v>
      </c>
      <c r="C12" s="4" t="s">
        <v>17</v>
      </c>
      <c r="D12" s="4" t="s">
        <v>16</v>
      </c>
      <c r="E12" s="4">
        <v>4.0</v>
      </c>
      <c r="F12" s="4">
        <v>3.0</v>
      </c>
      <c r="G12" s="4">
        <v>4.0</v>
      </c>
      <c r="H12" s="4">
        <v>4.0</v>
      </c>
      <c r="I12" s="4">
        <v>3.0</v>
      </c>
      <c r="J12" s="4">
        <v>3.0</v>
      </c>
      <c r="K12" s="4">
        <v>3.0</v>
      </c>
      <c r="L12" s="4">
        <v>3.0</v>
      </c>
      <c r="M12" s="4">
        <v>3.0</v>
      </c>
      <c r="N12" s="4">
        <v>3.0</v>
      </c>
      <c r="O12" s="4">
        <v>3.0</v>
      </c>
      <c r="P12" s="4">
        <v>3.0</v>
      </c>
      <c r="Q12" s="4">
        <v>3.0</v>
      </c>
      <c r="R12" s="4">
        <v>3.0</v>
      </c>
      <c r="S12" s="4">
        <v>4.0</v>
      </c>
      <c r="T12" s="4">
        <v>3.0</v>
      </c>
      <c r="U12" s="4">
        <v>3.0</v>
      </c>
      <c r="V12" s="4">
        <v>3.0</v>
      </c>
      <c r="W12" s="4">
        <v>3.0</v>
      </c>
      <c r="X12" s="4">
        <v>3.0</v>
      </c>
      <c r="Y12" s="4">
        <v>4.0</v>
      </c>
      <c r="Z12" s="4">
        <v>3.0</v>
      </c>
      <c r="AA12" s="4">
        <v>3.0</v>
      </c>
      <c r="AB12" s="4">
        <v>3.0</v>
      </c>
      <c r="AC12" s="4">
        <v>3.0</v>
      </c>
      <c r="AD12" s="4">
        <v>3.0</v>
      </c>
      <c r="AE12" s="4">
        <v>4.0</v>
      </c>
      <c r="AF12" s="4">
        <v>2.0</v>
      </c>
      <c r="AG12" s="4">
        <v>3.0</v>
      </c>
      <c r="AH12" s="4">
        <v>3.0</v>
      </c>
      <c r="AI12" s="4">
        <v>4.0</v>
      </c>
      <c r="AJ12" s="4">
        <v>3.0</v>
      </c>
      <c r="AK12" s="4">
        <v>4.0</v>
      </c>
      <c r="AL12" s="4">
        <v>4.0</v>
      </c>
      <c r="AM12" s="4">
        <v>4.0</v>
      </c>
      <c r="AN12" s="4">
        <v>4.0</v>
      </c>
      <c r="AO12" s="4">
        <v>3.0</v>
      </c>
      <c r="AP12" s="4">
        <v>4.0</v>
      </c>
      <c r="AQ12" s="4">
        <v>4.0</v>
      </c>
      <c r="AR12" s="4">
        <v>3.0</v>
      </c>
      <c r="AS12" s="4">
        <v>3.0</v>
      </c>
      <c r="AT12" s="4">
        <v>4.0</v>
      </c>
      <c r="AU12" s="4">
        <v>3.0</v>
      </c>
      <c r="AV12" s="4">
        <v>3.0</v>
      </c>
      <c r="AW12" s="4">
        <v>3.0</v>
      </c>
      <c r="AX12" s="4">
        <v>4.0</v>
      </c>
      <c r="AY12" s="4">
        <v>4.0</v>
      </c>
      <c r="AZ12" s="4">
        <v>4.0</v>
      </c>
      <c r="BA12" s="4">
        <v>4.0</v>
      </c>
      <c r="BB12" s="4">
        <v>4.0</v>
      </c>
      <c r="BC12" s="4">
        <v>4.0</v>
      </c>
      <c r="BD12" s="4">
        <v>4.0</v>
      </c>
      <c r="BE12" s="4">
        <v>4.0</v>
      </c>
      <c r="BF12" s="4">
        <v>4.0</v>
      </c>
      <c r="BG12" s="4">
        <v>4.0</v>
      </c>
      <c r="BH12" s="4">
        <v>4.0</v>
      </c>
      <c r="BI12" s="4">
        <v>4.0</v>
      </c>
      <c r="BJ12" s="4">
        <v>4.0</v>
      </c>
      <c r="BK12" s="4">
        <v>4.0</v>
      </c>
      <c r="BL12" s="4">
        <v>4.0</v>
      </c>
      <c r="BM12" s="4">
        <v>4.0</v>
      </c>
      <c r="BN12" s="4">
        <v>4.0</v>
      </c>
      <c r="BO12" s="4">
        <v>4.0</v>
      </c>
      <c r="BP12" s="4">
        <v>4.0</v>
      </c>
      <c r="BQ12" s="4">
        <v>4.0</v>
      </c>
      <c r="BR12" s="4">
        <v>4.0</v>
      </c>
      <c r="BS12" s="4">
        <v>4.0</v>
      </c>
      <c r="BT12" s="4">
        <v>4.0</v>
      </c>
      <c r="BU12" s="4">
        <v>4.0</v>
      </c>
      <c r="BV12" s="4">
        <v>4.0</v>
      </c>
      <c r="BW12" s="4">
        <v>5.0</v>
      </c>
      <c r="BX12" s="4">
        <v>4.0</v>
      </c>
      <c r="BY12" s="4">
        <v>5.0</v>
      </c>
      <c r="BZ12" s="4">
        <v>5.0</v>
      </c>
      <c r="CA12" s="4">
        <v>5.0</v>
      </c>
      <c r="CB12" s="4">
        <v>5.0</v>
      </c>
      <c r="CC12" s="4">
        <v>5.0</v>
      </c>
      <c r="CD12" s="4">
        <v>5.0</v>
      </c>
      <c r="CE12" s="4">
        <v>5.0</v>
      </c>
      <c r="CF12" s="4">
        <v>5.0</v>
      </c>
      <c r="CG12" s="4">
        <v>3.0</v>
      </c>
      <c r="CH12" s="4">
        <v>4.0</v>
      </c>
      <c r="CI12" s="4">
        <v>4.0</v>
      </c>
      <c r="CJ12" s="4">
        <v>4.0</v>
      </c>
      <c r="CK12" s="4">
        <v>4.0</v>
      </c>
      <c r="CL12" s="4">
        <v>4.0</v>
      </c>
      <c r="CM12" s="4">
        <v>4.0</v>
      </c>
      <c r="CN12" s="4">
        <v>4.0</v>
      </c>
      <c r="CO12" s="4">
        <v>4.0</v>
      </c>
      <c r="CP12" s="4">
        <v>4.0</v>
      </c>
      <c r="CQ12" s="4">
        <v>4.0</v>
      </c>
      <c r="CR12" s="4">
        <v>4.0</v>
      </c>
      <c r="CS12" s="4">
        <v>4.0</v>
      </c>
      <c r="CT12" s="4">
        <v>4.0</v>
      </c>
      <c r="CU12" s="4">
        <v>4.0</v>
      </c>
      <c r="CV12" s="4">
        <v>4.0</v>
      </c>
      <c r="CW12" s="4">
        <v>4.0</v>
      </c>
      <c r="CX12" s="4">
        <v>4.0</v>
      </c>
      <c r="CY12" s="4">
        <v>4.0</v>
      </c>
      <c r="CZ12" s="4">
        <v>4.0</v>
      </c>
      <c r="DA12" s="4">
        <v>4.0</v>
      </c>
      <c r="DB12" s="4">
        <v>4.0</v>
      </c>
      <c r="DC12" s="4">
        <v>4.0</v>
      </c>
      <c r="DD12" s="4">
        <v>4.0</v>
      </c>
      <c r="DE12" s="4">
        <v>4.0</v>
      </c>
      <c r="DF12" s="4">
        <v>4.0</v>
      </c>
      <c r="DG12" s="4">
        <v>4.0</v>
      </c>
      <c r="DH12" s="4">
        <v>4.0</v>
      </c>
      <c r="DI12" s="4">
        <v>4.0</v>
      </c>
      <c r="DJ12" s="4">
        <v>4.0</v>
      </c>
    </row>
    <row r="13" ht="22.5" customHeight="1">
      <c r="A13" s="3">
        <v>46002.63885020834</v>
      </c>
      <c r="B13" s="4" t="s">
        <v>14</v>
      </c>
      <c r="C13" s="4" t="s">
        <v>17</v>
      </c>
      <c r="D13" s="4" t="s">
        <v>25</v>
      </c>
      <c r="E13" s="4">
        <v>5.0</v>
      </c>
      <c r="F13" s="4">
        <v>5.0</v>
      </c>
      <c r="G13" s="4">
        <v>5.0</v>
      </c>
      <c r="H13" s="4">
        <v>5.0</v>
      </c>
      <c r="I13" s="4">
        <v>4.0</v>
      </c>
      <c r="J13" s="4">
        <v>4.0</v>
      </c>
      <c r="K13" s="4">
        <v>5.0</v>
      </c>
      <c r="L13" s="4">
        <v>5.0</v>
      </c>
      <c r="M13" s="4">
        <v>4.0</v>
      </c>
      <c r="N13" s="4">
        <v>3.0</v>
      </c>
      <c r="O13" s="4">
        <v>5.0</v>
      </c>
      <c r="P13" s="4">
        <v>5.0</v>
      </c>
      <c r="Q13" s="4">
        <v>5.0</v>
      </c>
      <c r="R13" s="4">
        <v>4.0</v>
      </c>
      <c r="S13" s="4">
        <v>5.0</v>
      </c>
      <c r="T13" s="4">
        <v>5.0</v>
      </c>
      <c r="U13" s="4">
        <v>5.0</v>
      </c>
      <c r="V13" s="4">
        <v>5.0</v>
      </c>
      <c r="W13" s="4">
        <v>3.0</v>
      </c>
      <c r="X13" s="4">
        <v>2.0</v>
      </c>
      <c r="Y13" s="4">
        <v>5.0</v>
      </c>
      <c r="Z13" s="4">
        <v>5.0</v>
      </c>
      <c r="AA13" s="4">
        <v>5.0</v>
      </c>
      <c r="AB13" s="4">
        <v>4.0</v>
      </c>
      <c r="AC13" s="4">
        <v>5.0</v>
      </c>
      <c r="AD13" s="4">
        <v>5.0</v>
      </c>
      <c r="AE13" s="4">
        <v>5.0</v>
      </c>
      <c r="AF13" s="4">
        <v>5.0</v>
      </c>
      <c r="AG13" s="4">
        <v>3.0</v>
      </c>
      <c r="AH13" s="4">
        <v>4.0</v>
      </c>
      <c r="AI13" s="4">
        <v>4.0</v>
      </c>
      <c r="AJ13" s="4">
        <v>5.0</v>
      </c>
      <c r="AK13" s="4">
        <v>5.0</v>
      </c>
      <c r="AL13" s="4">
        <v>5.0</v>
      </c>
      <c r="AM13" s="4">
        <v>5.0</v>
      </c>
      <c r="AN13" s="4">
        <v>5.0</v>
      </c>
      <c r="AO13" s="4">
        <v>5.0</v>
      </c>
      <c r="AP13" s="4">
        <v>5.0</v>
      </c>
      <c r="AQ13" s="4">
        <v>4.0</v>
      </c>
      <c r="AR13" s="4">
        <v>5.0</v>
      </c>
      <c r="AS13" s="4">
        <v>5.0</v>
      </c>
      <c r="AT13" s="4">
        <v>3.0</v>
      </c>
      <c r="AU13" s="4">
        <v>4.0</v>
      </c>
      <c r="AV13" s="4">
        <v>3.0</v>
      </c>
      <c r="AW13" s="4">
        <v>4.0</v>
      </c>
      <c r="AX13" s="4">
        <v>4.0</v>
      </c>
      <c r="AY13" s="4">
        <v>4.0</v>
      </c>
      <c r="AZ13" s="4">
        <v>3.0</v>
      </c>
      <c r="BA13" s="4">
        <v>3.0</v>
      </c>
      <c r="BB13" s="4">
        <v>3.0</v>
      </c>
      <c r="BC13" s="4">
        <v>4.0</v>
      </c>
      <c r="BD13" s="4">
        <v>5.0</v>
      </c>
      <c r="BE13" s="4">
        <v>5.0</v>
      </c>
      <c r="BF13" s="4">
        <v>4.0</v>
      </c>
      <c r="BG13" s="4">
        <v>3.0</v>
      </c>
      <c r="BH13" s="4">
        <v>5.0</v>
      </c>
      <c r="BI13" s="4">
        <v>4.0</v>
      </c>
      <c r="BJ13" s="4">
        <v>5.0</v>
      </c>
      <c r="BK13" s="4">
        <v>3.0</v>
      </c>
      <c r="BL13" s="4">
        <v>2.0</v>
      </c>
      <c r="BM13" s="4">
        <v>4.0</v>
      </c>
      <c r="BN13" s="4">
        <v>4.0</v>
      </c>
      <c r="BO13" s="4">
        <v>5.0</v>
      </c>
      <c r="BP13" s="4">
        <v>3.0</v>
      </c>
      <c r="BQ13" s="4">
        <v>4.0</v>
      </c>
      <c r="BR13" s="4">
        <v>4.0</v>
      </c>
      <c r="BS13" s="4">
        <v>4.0</v>
      </c>
      <c r="BT13" s="4">
        <v>5.0</v>
      </c>
      <c r="BU13" s="4">
        <v>3.0</v>
      </c>
      <c r="BV13" s="4">
        <v>4.0</v>
      </c>
      <c r="BW13" s="4">
        <v>4.0</v>
      </c>
      <c r="BX13" s="4">
        <v>4.0</v>
      </c>
      <c r="BY13" s="4">
        <v>4.0</v>
      </c>
      <c r="BZ13" s="4">
        <v>4.0</v>
      </c>
      <c r="CA13" s="4">
        <v>4.0</v>
      </c>
      <c r="CB13" s="4">
        <v>4.0</v>
      </c>
      <c r="CC13" s="4">
        <v>3.0</v>
      </c>
      <c r="CD13" s="4">
        <v>3.0</v>
      </c>
      <c r="CE13" s="4">
        <v>1.0</v>
      </c>
      <c r="CF13" s="4">
        <v>1.0</v>
      </c>
      <c r="CG13" s="4">
        <v>5.0</v>
      </c>
      <c r="CH13" s="4">
        <v>4.0</v>
      </c>
      <c r="CI13" s="4">
        <v>3.0</v>
      </c>
      <c r="CJ13" s="4">
        <v>3.0</v>
      </c>
      <c r="CK13" s="4">
        <v>3.0</v>
      </c>
      <c r="CL13" s="4">
        <v>3.0</v>
      </c>
      <c r="CM13" s="4">
        <v>3.0</v>
      </c>
      <c r="CN13" s="4">
        <v>3.0</v>
      </c>
      <c r="CO13" s="4">
        <v>3.0</v>
      </c>
      <c r="CP13" s="4">
        <v>3.0</v>
      </c>
      <c r="CQ13" s="4">
        <v>3.0</v>
      </c>
      <c r="CR13" s="4">
        <v>4.0</v>
      </c>
      <c r="CS13" s="4">
        <v>3.0</v>
      </c>
      <c r="CT13" s="4">
        <v>4.0</v>
      </c>
      <c r="CU13" s="4">
        <v>3.0</v>
      </c>
      <c r="CV13" s="4">
        <v>3.0</v>
      </c>
      <c r="CW13" s="4">
        <v>3.0</v>
      </c>
      <c r="CX13" s="4">
        <v>3.0</v>
      </c>
      <c r="CY13" s="4">
        <v>4.0</v>
      </c>
      <c r="CZ13" s="4">
        <v>3.0</v>
      </c>
      <c r="DA13" s="4">
        <v>3.0</v>
      </c>
      <c r="DB13" s="4">
        <v>3.0</v>
      </c>
      <c r="DC13" s="4">
        <v>3.0</v>
      </c>
      <c r="DD13" s="4">
        <v>4.0</v>
      </c>
      <c r="DE13" s="4">
        <v>4.0</v>
      </c>
      <c r="DF13" s="4">
        <v>4.0</v>
      </c>
      <c r="DG13" s="4">
        <v>3.0</v>
      </c>
      <c r="DH13" s="4">
        <v>4.0</v>
      </c>
      <c r="DI13" s="4">
        <v>3.0</v>
      </c>
      <c r="DJ13" s="4">
        <v>3.0</v>
      </c>
    </row>
    <row r="14" ht="22.5" customHeight="1">
      <c r="A14" s="3">
        <v>46002.64321684028</v>
      </c>
      <c r="B14" s="4" t="s">
        <v>14</v>
      </c>
      <c r="C14" s="4" t="s">
        <v>15</v>
      </c>
      <c r="D14" s="4" t="s">
        <v>21</v>
      </c>
      <c r="E14" s="4">
        <v>5.0</v>
      </c>
      <c r="F14" s="4">
        <v>5.0</v>
      </c>
      <c r="G14" s="4">
        <v>5.0</v>
      </c>
      <c r="H14" s="4">
        <v>4.0</v>
      </c>
      <c r="I14" s="4">
        <v>5.0</v>
      </c>
      <c r="J14" s="4">
        <v>5.0</v>
      </c>
      <c r="K14" s="4">
        <v>5.0</v>
      </c>
      <c r="L14" s="4">
        <v>5.0</v>
      </c>
      <c r="M14" s="4">
        <v>5.0</v>
      </c>
      <c r="N14" s="4">
        <v>5.0</v>
      </c>
      <c r="O14" s="4">
        <v>5.0</v>
      </c>
      <c r="P14" s="4">
        <v>5.0</v>
      </c>
      <c r="Q14" s="4">
        <v>5.0</v>
      </c>
      <c r="R14" s="4">
        <v>5.0</v>
      </c>
      <c r="S14" s="4">
        <v>5.0</v>
      </c>
      <c r="T14" s="4">
        <v>5.0</v>
      </c>
      <c r="U14" s="4">
        <v>5.0</v>
      </c>
      <c r="V14" s="4">
        <v>5.0</v>
      </c>
      <c r="W14" s="4">
        <v>5.0</v>
      </c>
      <c r="X14" s="4">
        <v>5.0</v>
      </c>
      <c r="Y14" s="4">
        <v>5.0</v>
      </c>
      <c r="Z14" s="4">
        <v>5.0</v>
      </c>
      <c r="AA14" s="4">
        <v>5.0</v>
      </c>
      <c r="AB14" s="4">
        <v>4.0</v>
      </c>
      <c r="AC14" s="4">
        <v>4.0</v>
      </c>
      <c r="AD14" s="4">
        <v>5.0</v>
      </c>
      <c r="AE14" s="4">
        <v>5.0</v>
      </c>
      <c r="AF14" s="4">
        <v>5.0</v>
      </c>
      <c r="AG14" s="4">
        <v>4.0</v>
      </c>
      <c r="AH14" s="4">
        <v>4.0</v>
      </c>
      <c r="AI14" s="4">
        <v>4.0</v>
      </c>
      <c r="AJ14" s="4">
        <v>4.0</v>
      </c>
      <c r="AK14" s="4">
        <v>5.0</v>
      </c>
      <c r="AL14" s="4">
        <v>5.0</v>
      </c>
      <c r="AM14" s="4">
        <v>4.0</v>
      </c>
      <c r="AN14" s="4">
        <v>4.0</v>
      </c>
      <c r="AO14" s="4">
        <v>3.0</v>
      </c>
      <c r="AP14" s="4">
        <v>5.0</v>
      </c>
      <c r="AQ14" s="4">
        <v>3.0</v>
      </c>
      <c r="AR14" s="4">
        <v>2.0</v>
      </c>
      <c r="AS14" s="4">
        <v>5.0</v>
      </c>
      <c r="AT14" s="4">
        <v>5.0</v>
      </c>
      <c r="AU14" s="4">
        <v>5.0</v>
      </c>
      <c r="AV14" s="4">
        <v>5.0</v>
      </c>
      <c r="AW14" s="4">
        <v>4.0</v>
      </c>
      <c r="AX14" s="4">
        <v>5.0</v>
      </c>
      <c r="AY14" s="4">
        <v>4.0</v>
      </c>
      <c r="AZ14" s="4">
        <v>5.0</v>
      </c>
      <c r="BA14" s="4">
        <v>4.0</v>
      </c>
      <c r="BB14" s="4">
        <v>3.0</v>
      </c>
      <c r="BC14" s="4">
        <v>5.0</v>
      </c>
      <c r="BD14" s="4">
        <v>5.0</v>
      </c>
      <c r="BE14" s="4">
        <v>5.0</v>
      </c>
      <c r="BF14" s="4">
        <v>5.0</v>
      </c>
      <c r="BG14" s="4">
        <v>5.0</v>
      </c>
      <c r="BH14" s="4">
        <v>5.0</v>
      </c>
      <c r="BI14" s="4">
        <v>4.0</v>
      </c>
      <c r="BJ14" s="4">
        <v>5.0</v>
      </c>
      <c r="BK14" s="4">
        <v>4.0</v>
      </c>
      <c r="BL14" s="4">
        <v>4.0</v>
      </c>
      <c r="BM14" s="4">
        <v>5.0</v>
      </c>
      <c r="BN14" s="4">
        <v>5.0</v>
      </c>
      <c r="BO14" s="4">
        <v>5.0</v>
      </c>
      <c r="BP14" s="4">
        <v>5.0</v>
      </c>
      <c r="BQ14" s="4">
        <v>5.0</v>
      </c>
      <c r="BR14" s="4">
        <v>5.0</v>
      </c>
      <c r="BS14" s="4">
        <v>4.0</v>
      </c>
      <c r="BT14" s="4">
        <v>5.0</v>
      </c>
      <c r="BU14" s="4">
        <v>4.0</v>
      </c>
      <c r="BV14" s="4">
        <v>4.0</v>
      </c>
      <c r="BW14" s="4">
        <v>5.0</v>
      </c>
      <c r="BX14" s="4">
        <v>5.0</v>
      </c>
      <c r="BY14" s="4">
        <v>5.0</v>
      </c>
      <c r="BZ14" s="4">
        <v>5.0</v>
      </c>
      <c r="CA14" s="4">
        <v>5.0</v>
      </c>
      <c r="CB14" s="4">
        <v>5.0</v>
      </c>
      <c r="CC14" s="4">
        <v>5.0</v>
      </c>
      <c r="CD14" s="4">
        <v>5.0</v>
      </c>
      <c r="CE14" s="4">
        <v>4.0</v>
      </c>
      <c r="CF14" s="4">
        <v>4.0</v>
      </c>
      <c r="CG14" s="4">
        <v>5.0</v>
      </c>
      <c r="CH14" s="4">
        <v>5.0</v>
      </c>
      <c r="CI14" s="4">
        <v>5.0</v>
      </c>
      <c r="CJ14" s="4">
        <v>5.0</v>
      </c>
      <c r="CK14" s="4">
        <v>5.0</v>
      </c>
      <c r="CL14" s="4">
        <v>5.0</v>
      </c>
      <c r="CM14" s="4">
        <v>5.0</v>
      </c>
      <c r="CN14" s="4">
        <v>5.0</v>
      </c>
      <c r="CO14" s="4">
        <v>4.0</v>
      </c>
      <c r="CP14" s="4">
        <v>4.0</v>
      </c>
      <c r="CQ14" s="4">
        <v>5.0</v>
      </c>
      <c r="CR14" s="4">
        <v>5.0</v>
      </c>
      <c r="CS14" s="4">
        <v>5.0</v>
      </c>
      <c r="CT14" s="4">
        <v>5.0</v>
      </c>
      <c r="CU14" s="4">
        <v>5.0</v>
      </c>
      <c r="CV14" s="4">
        <v>5.0</v>
      </c>
      <c r="CW14" s="4">
        <v>5.0</v>
      </c>
      <c r="CX14" s="4">
        <v>5.0</v>
      </c>
      <c r="CY14" s="4">
        <v>5.0</v>
      </c>
      <c r="CZ14" s="4">
        <v>5.0</v>
      </c>
      <c r="DA14" s="4">
        <v>5.0</v>
      </c>
      <c r="DB14" s="4">
        <v>5.0</v>
      </c>
      <c r="DC14" s="4">
        <v>5.0</v>
      </c>
      <c r="DD14" s="4">
        <v>5.0</v>
      </c>
      <c r="DE14" s="4">
        <v>5.0</v>
      </c>
      <c r="DF14" s="4">
        <v>5.0</v>
      </c>
      <c r="DG14" s="4">
        <v>3.0</v>
      </c>
      <c r="DH14" s="4">
        <v>5.0</v>
      </c>
      <c r="DI14" s="4">
        <v>3.0</v>
      </c>
      <c r="DJ14" s="4">
        <v>3.0</v>
      </c>
    </row>
    <row r="15" ht="22.5" customHeight="1">
      <c r="A15" s="3">
        <v>46002.64985332176</v>
      </c>
      <c r="B15" s="4" t="s">
        <v>14</v>
      </c>
      <c r="C15" s="4" t="s">
        <v>24</v>
      </c>
      <c r="D15" s="4" t="s">
        <v>21</v>
      </c>
      <c r="E15" s="4">
        <v>4.0</v>
      </c>
      <c r="F15" s="4">
        <v>3.0</v>
      </c>
      <c r="G15" s="4">
        <v>4.0</v>
      </c>
      <c r="H15" s="4">
        <v>3.0</v>
      </c>
      <c r="I15" s="4">
        <v>4.0</v>
      </c>
      <c r="J15" s="4">
        <v>4.0</v>
      </c>
      <c r="K15" s="4">
        <v>4.0</v>
      </c>
      <c r="L15" s="4">
        <v>3.0</v>
      </c>
      <c r="M15" s="4">
        <v>4.0</v>
      </c>
      <c r="N15" s="4">
        <v>4.0</v>
      </c>
      <c r="O15" s="4">
        <v>4.0</v>
      </c>
      <c r="P15" s="4">
        <v>5.0</v>
      </c>
      <c r="Q15" s="4">
        <v>5.0</v>
      </c>
      <c r="R15" s="4">
        <v>4.0</v>
      </c>
      <c r="S15" s="4">
        <v>5.0</v>
      </c>
      <c r="T15" s="4">
        <v>5.0</v>
      </c>
      <c r="U15" s="4">
        <v>5.0</v>
      </c>
      <c r="V15" s="4">
        <v>5.0</v>
      </c>
      <c r="W15" s="4">
        <v>4.0</v>
      </c>
      <c r="X15" s="4">
        <v>5.0</v>
      </c>
      <c r="Y15" s="4">
        <v>4.0</v>
      </c>
      <c r="Z15" s="4">
        <v>3.0</v>
      </c>
      <c r="AA15" s="4">
        <v>4.0</v>
      </c>
      <c r="AB15" s="4">
        <v>2.0</v>
      </c>
      <c r="AC15" s="4">
        <v>3.0</v>
      </c>
      <c r="AD15" s="4">
        <v>3.0</v>
      </c>
      <c r="AE15" s="4">
        <v>3.0</v>
      </c>
      <c r="AF15" s="4">
        <v>2.0</v>
      </c>
      <c r="AG15" s="4">
        <v>4.0</v>
      </c>
      <c r="AH15" s="4">
        <v>2.0</v>
      </c>
      <c r="AI15" s="4">
        <v>4.0</v>
      </c>
      <c r="AJ15" s="4">
        <v>5.0</v>
      </c>
      <c r="AK15" s="4">
        <v>4.0</v>
      </c>
      <c r="AL15" s="4">
        <v>5.0</v>
      </c>
      <c r="AM15" s="4">
        <v>4.0</v>
      </c>
      <c r="AN15" s="4">
        <v>4.0</v>
      </c>
      <c r="AO15" s="4">
        <v>4.0</v>
      </c>
      <c r="AP15" s="4">
        <v>5.0</v>
      </c>
      <c r="AQ15" s="4">
        <v>4.0</v>
      </c>
      <c r="AR15" s="4">
        <v>4.0</v>
      </c>
      <c r="AS15" s="4">
        <v>5.0</v>
      </c>
      <c r="AT15" s="4">
        <v>5.0</v>
      </c>
      <c r="AU15" s="4">
        <v>4.0</v>
      </c>
      <c r="AV15" s="4">
        <v>5.0</v>
      </c>
      <c r="AW15" s="4">
        <v>5.0</v>
      </c>
      <c r="AX15" s="4">
        <v>4.0</v>
      </c>
      <c r="AY15" s="4">
        <v>5.0</v>
      </c>
      <c r="AZ15" s="4">
        <v>5.0</v>
      </c>
      <c r="BA15" s="4">
        <v>5.0</v>
      </c>
      <c r="BB15" s="4">
        <v>5.0</v>
      </c>
      <c r="BC15" s="4">
        <v>4.0</v>
      </c>
      <c r="BD15" s="4">
        <v>4.0</v>
      </c>
      <c r="BE15" s="4">
        <v>5.0</v>
      </c>
      <c r="BF15" s="4">
        <v>5.0</v>
      </c>
      <c r="BG15" s="4">
        <v>5.0</v>
      </c>
      <c r="BH15" s="4">
        <v>4.0</v>
      </c>
      <c r="BI15" s="4">
        <v>4.0</v>
      </c>
      <c r="BJ15" s="4">
        <v>4.0</v>
      </c>
      <c r="BK15" s="4">
        <v>5.0</v>
      </c>
      <c r="BL15" s="4">
        <v>4.0</v>
      </c>
      <c r="BM15" s="4">
        <v>4.0</v>
      </c>
      <c r="BN15" s="4">
        <v>3.0</v>
      </c>
      <c r="BO15" s="4">
        <v>3.0</v>
      </c>
      <c r="BP15" s="4">
        <v>4.0</v>
      </c>
      <c r="BQ15" s="4">
        <v>4.0</v>
      </c>
      <c r="BR15" s="4">
        <v>4.0</v>
      </c>
      <c r="BS15" s="4">
        <v>4.0</v>
      </c>
      <c r="BT15" s="4">
        <v>5.0</v>
      </c>
      <c r="BU15" s="4">
        <v>4.0</v>
      </c>
      <c r="BV15" s="4">
        <v>5.0</v>
      </c>
      <c r="BW15" s="4">
        <v>5.0</v>
      </c>
      <c r="BX15" s="4">
        <v>5.0</v>
      </c>
      <c r="BY15" s="4">
        <v>5.0</v>
      </c>
      <c r="BZ15" s="4">
        <v>5.0</v>
      </c>
      <c r="CA15" s="4">
        <v>5.0</v>
      </c>
      <c r="CB15" s="4">
        <v>5.0</v>
      </c>
      <c r="CC15" s="4">
        <v>5.0</v>
      </c>
      <c r="CD15" s="4">
        <v>5.0</v>
      </c>
      <c r="CE15" s="4">
        <v>4.0</v>
      </c>
      <c r="CF15" s="4">
        <v>5.0</v>
      </c>
      <c r="CG15" s="4">
        <v>4.0</v>
      </c>
      <c r="CH15" s="4">
        <v>3.0</v>
      </c>
      <c r="CI15" s="4">
        <v>4.0</v>
      </c>
      <c r="CJ15" s="4">
        <v>3.0</v>
      </c>
      <c r="CK15" s="4">
        <v>4.0</v>
      </c>
      <c r="CL15" s="4">
        <v>4.0</v>
      </c>
      <c r="CM15" s="4">
        <v>3.0</v>
      </c>
      <c r="CN15" s="4">
        <v>4.0</v>
      </c>
      <c r="CO15" s="4">
        <v>4.0</v>
      </c>
      <c r="CP15" s="4">
        <v>4.0</v>
      </c>
      <c r="CQ15" s="4">
        <v>5.0</v>
      </c>
      <c r="CR15" s="4">
        <v>5.0</v>
      </c>
      <c r="CS15" s="4">
        <v>5.0</v>
      </c>
      <c r="CT15" s="4">
        <v>5.0</v>
      </c>
      <c r="CU15" s="4">
        <v>4.0</v>
      </c>
      <c r="CV15" s="4">
        <v>5.0</v>
      </c>
      <c r="CW15" s="4">
        <v>5.0</v>
      </c>
      <c r="CX15" s="4">
        <v>5.0</v>
      </c>
      <c r="CY15" s="4">
        <v>4.0</v>
      </c>
      <c r="CZ15" s="4">
        <v>4.0</v>
      </c>
      <c r="DA15" s="4">
        <v>5.0</v>
      </c>
      <c r="DB15" s="4">
        <v>4.0</v>
      </c>
      <c r="DC15" s="4">
        <v>5.0</v>
      </c>
      <c r="DD15" s="4">
        <v>4.0</v>
      </c>
      <c r="DE15" s="4">
        <v>4.0</v>
      </c>
      <c r="DF15" s="4">
        <v>4.0</v>
      </c>
      <c r="DG15" s="4">
        <v>5.0</v>
      </c>
      <c r="DH15" s="4">
        <v>5.0</v>
      </c>
      <c r="DI15" s="4">
        <v>4.0</v>
      </c>
      <c r="DJ15" s="4">
        <v>4.0</v>
      </c>
    </row>
    <row r="16" ht="22.5" customHeight="1">
      <c r="A16" s="3">
        <v>46002.68158517361</v>
      </c>
      <c r="B16" s="4" t="s">
        <v>14</v>
      </c>
      <c r="C16" s="4" t="s">
        <v>17</v>
      </c>
      <c r="D16" s="4" t="s">
        <v>16</v>
      </c>
      <c r="E16" s="4">
        <v>3.0</v>
      </c>
      <c r="F16" s="4">
        <v>5.0</v>
      </c>
      <c r="G16" s="4">
        <v>4.0</v>
      </c>
      <c r="H16" s="4">
        <v>2.0</v>
      </c>
      <c r="I16" s="4">
        <v>3.0</v>
      </c>
      <c r="J16" s="4">
        <v>5.0</v>
      </c>
      <c r="K16" s="4">
        <v>5.0</v>
      </c>
      <c r="L16" s="4">
        <v>5.0</v>
      </c>
      <c r="M16" s="4">
        <v>3.0</v>
      </c>
      <c r="N16" s="4">
        <v>2.0</v>
      </c>
      <c r="O16" s="4">
        <v>5.0</v>
      </c>
      <c r="P16" s="4">
        <v>5.0</v>
      </c>
      <c r="Q16" s="4">
        <v>4.0</v>
      </c>
      <c r="R16" s="4">
        <v>5.0</v>
      </c>
      <c r="S16" s="4">
        <v>5.0</v>
      </c>
      <c r="T16" s="4">
        <v>5.0</v>
      </c>
      <c r="U16" s="4">
        <v>5.0</v>
      </c>
      <c r="V16" s="4">
        <v>5.0</v>
      </c>
      <c r="W16" s="4">
        <v>5.0</v>
      </c>
      <c r="X16" s="4">
        <v>5.0</v>
      </c>
      <c r="Y16" s="4">
        <v>5.0</v>
      </c>
      <c r="Z16" s="4">
        <v>5.0</v>
      </c>
      <c r="AA16" s="4">
        <v>5.0</v>
      </c>
      <c r="AB16" s="4">
        <v>5.0</v>
      </c>
      <c r="AC16" s="4">
        <v>5.0</v>
      </c>
      <c r="AD16" s="4">
        <v>5.0</v>
      </c>
      <c r="AE16" s="4">
        <v>5.0</v>
      </c>
      <c r="AF16" s="4">
        <v>5.0</v>
      </c>
      <c r="AG16" s="4">
        <v>5.0</v>
      </c>
      <c r="AH16" s="4">
        <v>5.0</v>
      </c>
      <c r="AI16" s="4">
        <v>5.0</v>
      </c>
      <c r="AJ16" s="4">
        <v>5.0</v>
      </c>
      <c r="AK16" s="4">
        <v>5.0</v>
      </c>
      <c r="AL16" s="4">
        <v>5.0</v>
      </c>
      <c r="AM16" s="4">
        <v>5.0</v>
      </c>
      <c r="AN16" s="4">
        <v>5.0</v>
      </c>
      <c r="AO16" s="4">
        <v>5.0</v>
      </c>
      <c r="AP16" s="4">
        <v>5.0</v>
      </c>
      <c r="AQ16" s="4">
        <v>5.0</v>
      </c>
      <c r="AR16" s="4">
        <v>5.0</v>
      </c>
      <c r="AS16" s="4">
        <v>5.0</v>
      </c>
      <c r="AT16" s="4">
        <v>5.0</v>
      </c>
      <c r="AU16" s="4">
        <v>5.0</v>
      </c>
      <c r="AV16" s="4">
        <v>5.0</v>
      </c>
      <c r="AW16" s="4">
        <v>5.0</v>
      </c>
      <c r="AX16" s="4">
        <v>5.0</v>
      </c>
      <c r="AY16" s="4">
        <v>5.0</v>
      </c>
      <c r="AZ16" s="4">
        <v>5.0</v>
      </c>
      <c r="BA16" s="4">
        <v>5.0</v>
      </c>
      <c r="BB16" s="4">
        <v>5.0</v>
      </c>
      <c r="BC16" s="4">
        <v>5.0</v>
      </c>
      <c r="BD16" s="4">
        <v>5.0</v>
      </c>
      <c r="BE16" s="4">
        <v>5.0</v>
      </c>
      <c r="BF16" s="4">
        <v>5.0</v>
      </c>
      <c r="BG16" s="4">
        <v>5.0</v>
      </c>
      <c r="BH16" s="4">
        <v>5.0</v>
      </c>
      <c r="BI16" s="4">
        <v>5.0</v>
      </c>
      <c r="BJ16" s="4">
        <v>5.0</v>
      </c>
      <c r="BK16" s="4">
        <v>5.0</v>
      </c>
      <c r="BL16" s="4">
        <v>5.0</v>
      </c>
      <c r="BM16" s="4">
        <v>5.0</v>
      </c>
      <c r="BN16" s="4">
        <v>5.0</v>
      </c>
      <c r="BO16" s="4">
        <v>5.0</v>
      </c>
      <c r="BP16" s="4">
        <v>5.0</v>
      </c>
      <c r="BQ16" s="4">
        <v>5.0</v>
      </c>
      <c r="BR16" s="4">
        <v>5.0</v>
      </c>
      <c r="BS16" s="4">
        <v>5.0</v>
      </c>
      <c r="BT16" s="4">
        <v>5.0</v>
      </c>
      <c r="BU16" s="4">
        <v>5.0</v>
      </c>
      <c r="BV16" s="4">
        <v>5.0</v>
      </c>
      <c r="BW16" s="4">
        <v>5.0</v>
      </c>
      <c r="BX16" s="4">
        <v>5.0</v>
      </c>
      <c r="BY16" s="4">
        <v>5.0</v>
      </c>
      <c r="BZ16" s="4">
        <v>3.0</v>
      </c>
      <c r="CA16" s="4">
        <v>5.0</v>
      </c>
      <c r="CB16" s="4">
        <v>5.0</v>
      </c>
      <c r="CC16" s="4">
        <v>5.0</v>
      </c>
      <c r="CD16" s="4">
        <v>5.0</v>
      </c>
      <c r="CE16" s="4">
        <v>5.0</v>
      </c>
      <c r="CF16" s="4">
        <v>5.0</v>
      </c>
      <c r="CG16" s="4">
        <v>5.0</v>
      </c>
      <c r="CH16" s="4">
        <v>5.0</v>
      </c>
      <c r="CI16" s="4">
        <v>5.0</v>
      </c>
      <c r="CJ16" s="4">
        <v>5.0</v>
      </c>
      <c r="CK16" s="4">
        <v>5.0</v>
      </c>
      <c r="CL16" s="4">
        <v>5.0</v>
      </c>
      <c r="CM16" s="4">
        <v>5.0</v>
      </c>
      <c r="CN16" s="4">
        <v>5.0</v>
      </c>
      <c r="CO16" s="4">
        <v>5.0</v>
      </c>
      <c r="CP16" s="4">
        <v>5.0</v>
      </c>
      <c r="CQ16" s="4">
        <v>5.0</v>
      </c>
      <c r="CR16" s="4">
        <v>5.0</v>
      </c>
      <c r="CS16" s="4">
        <v>5.0</v>
      </c>
      <c r="CT16" s="4">
        <v>5.0</v>
      </c>
      <c r="CU16" s="4">
        <v>5.0</v>
      </c>
      <c r="CV16" s="4">
        <v>5.0</v>
      </c>
      <c r="CW16" s="4">
        <v>5.0</v>
      </c>
      <c r="CX16" s="4">
        <v>5.0</v>
      </c>
      <c r="CY16" s="4">
        <v>5.0</v>
      </c>
      <c r="CZ16" s="4">
        <v>5.0</v>
      </c>
      <c r="DA16" s="4">
        <v>5.0</v>
      </c>
      <c r="DB16" s="4">
        <v>5.0</v>
      </c>
      <c r="DC16" s="4">
        <v>5.0</v>
      </c>
      <c r="DD16" s="4">
        <v>5.0</v>
      </c>
      <c r="DE16" s="4">
        <v>5.0</v>
      </c>
      <c r="DF16" s="4">
        <v>5.0</v>
      </c>
      <c r="DG16" s="4">
        <v>5.0</v>
      </c>
      <c r="DH16" s="4">
        <v>5.0</v>
      </c>
      <c r="DI16" s="4">
        <v>5.0</v>
      </c>
      <c r="DJ16" s="4">
        <v>5.0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8.63"/>
    <col customWidth="1" min="3" max="3" width="39.63"/>
    <col customWidth="1" min="4" max="4" width="8.63"/>
    <col customWidth="1" min="5" max="5" width="124.38"/>
    <col customWidth="1" min="6" max="7" width="21.13"/>
    <col customWidth="1" min="8" max="8" width="31.88"/>
    <col customWidth="1" min="9" max="11" width="19.88"/>
    <col customWidth="1" min="12" max="12" width="21.13"/>
    <col customWidth="1" min="13" max="13" width="19.88"/>
    <col customWidth="1" min="14" max="20" width="21.13"/>
    <col customWidth="1" min="21" max="22" width="8.63"/>
    <col customWidth="1" min="23" max="23" width="12.88"/>
    <col customWidth="1" min="24" max="26" width="8.63"/>
  </cols>
  <sheetData>
    <row r="1" ht="12.75" customHeight="1">
      <c r="A1" s="5" t="s">
        <v>26</v>
      </c>
      <c r="B1" s="6" t="s">
        <v>27</v>
      </c>
      <c r="C1" s="6" t="s">
        <v>28</v>
      </c>
      <c r="D1" s="5" t="s">
        <v>29</v>
      </c>
      <c r="E1" s="7" t="s">
        <v>30</v>
      </c>
      <c r="F1" s="8" t="s">
        <v>31</v>
      </c>
      <c r="G1" s="8" t="s">
        <v>32</v>
      </c>
      <c r="H1" s="8" t="s">
        <v>33</v>
      </c>
      <c r="I1" s="8" t="s">
        <v>34</v>
      </c>
      <c r="J1" s="8" t="s">
        <v>35</v>
      </c>
      <c r="K1" s="8" t="s">
        <v>36</v>
      </c>
      <c r="L1" s="8" t="s">
        <v>37</v>
      </c>
      <c r="M1" s="8" t="s">
        <v>38</v>
      </c>
      <c r="N1" s="8" t="s">
        <v>39</v>
      </c>
      <c r="O1" s="8" t="s">
        <v>40</v>
      </c>
      <c r="P1" s="8" t="s">
        <v>41</v>
      </c>
      <c r="Q1" s="8" t="s">
        <v>42</v>
      </c>
      <c r="R1" s="8" t="s">
        <v>43</v>
      </c>
      <c r="S1" s="8" t="s">
        <v>44</v>
      </c>
      <c r="T1" s="8" t="s">
        <v>45</v>
      </c>
      <c r="U1" s="9" t="s">
        <v>46</v>
      </c>
      <c r="V1" s="9" t="s">
        <v>47</v>
      </c>
      <c r="W1" s="9" t="s">
        <v>48</v>
      </c>
      <c r="X1" s="9" t="s">
        <v>49</v>
      </c>
      <c r="Y1" s="9" t="s">
        <v>50</v>
      </c>
      <c r="Z1" s="9" t="s">
        <v>51</v>
      </c>
    </row>
    <row r="2" ht="12.75" customHeight="1">
      <c r="A2" s="5" t="s">
        <v>52</v>
      </c>
      <c r="B2" s="6" t="s">
        <v>53</v>
      </c>
      <c r="C2" s="6" t="s">
        <v>54</v>
      </c>
      <c r="D2" s="6" t="s">
        <v>54</v>
      </c>
      <c r="E2" s="7" t="s">
        <v>55</v>
      </c>
      <c r="F2" s="10" t="s">
        <v>14</v>
      </c>
      <c r="G2" s="11" t="s">
        <v>14</v>
      </c>
      <c r="H2" s="10" t="s">
        <v>19</v>
      </c>
      <c r="I2" s="11" t="s">
        <v>20</v>
      </c>
      <c r="J2" s="10" t="s">
        <v>20</v>
      </c>
      <c r="K2" s="11" t="s">
        <v>20</v>
      </c>
      <c r="L2" s="10" t="s">
        <v>14</v>
      </c>
      <c r="M2" s="11" t="s">
        <v>20</v>
      </c>
      <c r="N2" s="10" t="s">
        <v>14</v>
      </c>
      <c r="O2" s="11" t="s">
        <v>14</v>
      </c>
      <c r="P2" s="10" t="s">
        <v>14</v>
      </c>
      <c r="Q2" s="11" t="s">
        <v>14</v>
      </c>
      <c r="R2" s="10" t="s">
        <v>14</v>
      </c>
      <c r="S2" s="11" t="s">
        <v>14</v>
      </c>
      <c r="T2" s="11" t="s">
        <v>14</v>
      </c>
      <c r="U2" s="12"/>
      <c r="V2" s="12"/>
      <c r="W2" s="12"/>
      <c r="X2" s="12"/>
      <c r="Y2" s="12"/>
      <c r="Z2" s="12"/>
    </row>
    <row r="3" ht="12.75" customHeight="1">
      <c r="A3" s="5" t="s">
        <v>52</v>
      </c>
      <c r="B3" s="6" t="s">
        <v>53</v>
      </c>
      <c r="C3" s="6" t="s">
        <v>54</v>
      </c>
      <c r="D3" s="6" t="s">
        <v>54</v>
      </c>
      <c r="E3" s="7" t="s">
        <v>56</v>
      </c>
      <c r="F3" s="10" t="s">
        <v>15</v>
      </c>
      <c r="G3" s="11" t="s">
        <v>17</v>
      </c>
      <c r="H3" s="10" t="s">
        <v>15</v>
      </c>
      <c r="I3" s="11" t="s">
        <v>15</v>
      </c>
      <c r="J3" s="10" t="s">
        <v>22</v>
      </c>
      <c r="K3" s="11" t="s">
        <v>17</v>
      </c>
      <c r="L3" s="10" t="s">
        <v>24</v>
      </c>
      <c r="M3" s="11" t="s">
        <v>15</v>
      </c>
      <c r="N3" s="10" t="s">
        <v>17</v>
      </c>
      <c r="O3" s="11" t="s">
        <v>15</v>
      </c>
      <c r="P3" s="10" t="s">
        <v>17</v>
      </c>
      <c r="Q3" s="11" t="s">
        <v>17</v>
      </c>
      <c r="R3" s="10" t="s">
        <v>15</v>
      </c>
      <c r="S3" s="11" t="s">
        <v>24</v>
      </c>
      <c r="T3" s="11" t="s">
        <v>17</v>
      </c>
      <c r="U3" s="12"/>
      <c r="V3" s="12"/>
      <c r="W3" s="12"/>
      <c r="X3" s="12"/>
      <c r="Y3" s="12"/>
      <c r="Z3" s="12"/>
    </row>
    <row r="4" ht="12.75" customHeight="1">
      <c r="A4" s="5" t="s">
        <v>52</v>
      </c>
      <c r="B4" s="6" t="s">
        <v>53</v>
      </c>
      <c r="C4" s="6" t="s">
        <v>54</v>
      </c>
      <c r="D4" s="6" t="s">
        <v>54</v>
      </c>
      <c r="E4" s="7" t="s">
        <v>57</v>
      </c>
      <c r="F4" s="10" t="s">
        <v>16</v>
      </c>
      <c r="G4" s="11" t="s">
        <v>18</v>
      </c>
      <c r="H4" s="10" t="s">
        <v>16</v>
      </c>
      <c r="I4" s="11" t="s">
        <v>21</v>
      </c>
      <c r="J4" s="10" t="s">
        <v>23</v>
      </c>
      <c r="K4" s="11" t="s">
        <v>18</v>
      </c>
      <c r="L4" s="10" t="s">
        <v>21</v>
      </c>
      <c r="M4" s="11" t="s">
        <v>16</v>
      </c>
      <c r="N4" s="10" t="s">
        <v>18</v>
      </c>
      <c r="O4" s="11" t="s">
        <v>21</v>
      </c>
      <c r="P4" s="10" t="s">
        <v>16</v>
      </c>
      <c r="Q4" s="11" t="s">
        <v>25</v>
      </c>
      <c r="R4" s="10" t="s">
        <v>21</v>
      </c>
      <c r="S4" s="11" t="s">
        <v>21</v>
      </c>
      <c r="T4" s="11" t="s">
        <v>16</v>
      </c>
      <c r="U4" s="13"/>
      <c r="V4" s="13"/>
      <c r="W4" s="13"/>
      <c r="X4" s="13"/>
      <c r="Y4" s="13"/>
      <c r="Z4" s="13"/>
    </row>
    <row r="5" ht="12.75" customHeight="1">
      <c r="A5" s="5" t="s">
        <v>58</v>
      </c>
      <c r="B5" s="6" t="s">
        <v>59</v>
      </c>
      <c r="C5" s="6" t="s">
        <v>60</v>
      </c>
      <c r="D5" s="6" t="s">
        <v>61</v>
      </c>
      <c r="E5" s="7" t="s">
        <v>4</v>
      </c>
      <c r="F5" s="10">
        <v>3.0</v>
      </c>
      <c r="G5" s="11">
        <v>5.0</v>
      </c>
      <c r="H5" s="10">
        <v>4.0</v>
      </c>
      <c r="I5" s="11">
        <v>2.0</v>
      </c>
      <c r="J5" s="10">
        <v>4.0</v>
      </c>
      <c r="K5" s="11">
        <v>5.0</v>
      </c>
      <c r="L5" s="10">
        <v>5.0</v>
      </c>
      <c r="M5" s="11">
        <v>3.0</v>
      </c>
      <c r="N5" s="10">
        <v>5.0</v>
      </c>
      <c r="O5" s="11">
        <v>4.0</v>
      </c>
      <c r="P5" s="10">
        <v>4.0</v>
      </c>
      <c r="Q5" s="11">
        <v>5.0</v>
      </c>
      <c r="R5" s="10">
        <v>5.0</v>
      </c>
      <c r="S5" s="11">
        <v>4.0</v>
      </c>
      <c r="T5" s="11">
        <v>3.0</v>
      </c>
      <c r="U5" s="5">
        <f t="shared" ref="U5:U114" si="1">SUM(F5:T5)</f>
        <v>61</v>
      </c>
      <c r="V5" s="14">
        <f t="shared" ref="V5:V114" si="2">U5/15</f>
        <v>4.066666667</v>
      </c>
      <c r="W5" s="14">
        <f t="shared" ref="W5:W114" si="3">STDEV(F5:T5)</f>
        <v>0.9611501047</v>
      </c>
      <c r="X5" s="5">
        <f t="shared" ref="X5:X114" si="4">MEDIAN(F5:T5)</f>
        <v>4</v>
      </c>
      <c r="Y5" s="5">
        <f t="shared" ref="Y5:Y114" si="5">SMALL(F5:T5,1)</f>
        <v>2</v>
      </c>
      <c r="Z5" s="5">
        <f t="shared" ref="Z5:Z114" si="6">LARGE(F5:T5, 1)</f>
        <v>5</v>
      </c>
    </row>
    <row r="6" ht="12.75" customHeight="1">
      <c r="A6" s="5" t="s">
        <v>58</v>
      </c>
      <c r="B6" s="6" t="s">
        <v>59</v>
      </c>
      <c r="C6" s="6" t="s">
        <v>62</v>
      </c>
      <c r="D6" s="6" t="s">
        <v>61</v>
      </c>
      <c r="E6" s="7" t="s">
        <v>5</v>
      </c>
      <c r="F6" s="10">
        <v>3.0</v>
      </c>
      <c r="G6" s="11">
        <v>5.0</v>
      </c>
      <c r="H6" s="10">
        <v>5.0</v>
      </c>
      <c r="I6" s="11">
        <v>2.0</v>
      </c>
      <c r="J6" s="10">
        <v>4.0</v>
      </c>
      <c r="K6" s="11">
        <v>3.0</v>
      </c>
      <c r="L6" s="10">
        <v>5.0</v>
      </c>
      <c r="M6" s="11">
        <v>2.0</v>
      </c>
      <c r="N6" s="10">
        <v>5.0</v>
      </c>
      <c r="O6" s="11">
        <v>4.0</v>
      </c>
      <c r="P6" s="10">
        <v>3.0</v>
      </c>
      <c r="Q6" s="11">
        <v>5.0</v>
      </c>
      <c r="R6" s="10">
        <v>5.0</v>
      </c>
      <c r="S6" s="11">
        <v>3.0</v>
      </c>
      <c r="T6" s="11">
        <v>5.0</v>
      </c>
      <c r="U6" s="5">
        <f t="shared" si="1"/>
        <v>59</v>
      </c>
      <c r="V6" s="14">
        <f t="shared" si="2"/>
        <v>3.933333333</v>
      </c>
      <c r="W6" s="14">
        <f t="shared" si="3"/>
        <v>1.162919151</v>
      </c>
      <c r="X6" s="5">
        <f t="shared" si="4"/>
        <v>4</v>
      </c>
      <c r="Y6" s="5">
        <f t="shared" si="5"/>
        <v>2</v>
      </c>
      <c r="Z6" s="5">
        <f t="shared" si="6"/>
        <v>5</v>
      </c>
    </row>
    <row r="7" ht="12.75" customHeight="1">
      <c r="A7" s="5" t="s">
        <v>58</v>
      </c>
      <c r="B7" s="6" t="s">
        <v>59</v>
      </c>
      <c r="C7" s="6" t="s">
        <v>63</v>
      </c>
      <c r="D7" s="6" t="s">
        <v>61</v>
      </c>
      <c r="E7" s="7" t="s">
        <v>6</v>
      </c>
      <c r="F7" s="10">
        <v>2.0</v>
      </c>
      <c r="G7" s="11">
        <v>5.0</v>
      </c>
      <c r="H7" s="10">
        <v>4.0</v>
      </c>
      <c r="I7" s="11">
        <v>5.0</v>
      </c>
      <c r="J7" s="10">
        <v>4.0</v>
      </c>
      <c r="K7" s="11">
        <v>4.0</v>
      </c>
      <c r="L7" s="10">
        <v>4.0</v>
      </c>
      <c r="M7" s="11">
        <v>5.0</v>
      </c>
      <c r="N7" s="10">
        <v>5.0</v>
      </c>
      <c r="O7" s="11">
        <v>4.0</v>
      </c>
      <c r="P7" s="10">
        <v>4.0</v>
      </c>
      <c r="Q7" s="11">
        <v>5.0</v>
      </c>
      <c r="R7" s="10">
        <v>5.0</v>
      </c>
      <c r="S7" s="11">
        <v>4.0</v>
      </c>
      <c r="T7" s="11">
        <v>4.0</v>
      </c>
      <c r="U7" s="5">
        <f t="shared" si="1"/>
        <v>64</v>
      </c>
      <c r="V7" s="14">
        <f t="shared" si="2"/>
        <v>4.266666667</v>
      </c>
      <c r="W7" s="14">
        <f t="shared" si="3"/>
        <v>0.7988086367</v>
      </c>
      <c r="X7" s="5">
        <f t="shared" si="4"/>
        <v>4</v>
      </c>
      <c r="Y7" s="5">
        <f t="shared" si="5"/>
        <v>2</v>
      </c>
      <c r="Z7" s="5">
        <f t="shared" si="6"/>
        <v>5</v>
      </c>
    </row>
    <row r="8" ht="12.75" customHeight="1">
      <c r="A8" s="5" t="s">
        <v>58</v>
      </c>
      <c r="B8" s="6" t="s">
        <v>59</v>
      </c>
      <c r="C8" s="6" t="s">
        <v>64</v>
      </c>
      <c r="D8" s="6" t="s">
        <v>61</v>
      </c>
      <c r="E8" s="7" t="s">
        <v>7</v>
      </c>
      <c r="F8" s="10">
        <v>2.0</v>
      </c>
      <c r="G8" s="11">
        <v>4.0</v>
      </c>
      <c r="H8" s="10">
        <v>3.0</v>
      </c>
      <c r="I8" s="11">
        <v>5.0</v>
      </c>
      <c r="J8" s="10">
        <v>4.0</v>
      </c>
      <c r="K8" s="11">
        <v>4.0</v>
      </c>
      <c r="L8" s="10">
        <v>4.0</v>
      </c>
      <c r="M8" s="11">
        <v>4.0</v>
      </c>
      <c r="N8" s="10">
        <v>3.0</v>
      </c>
      <c r="O8" s="11">
        <v>3.0</v>
      </c>
      <c r="P8" s="10">
        <v>4.0</v>
      </c>
      <c r="Q8" s="11">
        <v>5.0</v>
      </c>
      <c r="R8" s="10">
        <v>4.0</v>
      </c>
      <c r="S8" s="11">
        <v>3.0</v>
      </c>
      <c r="T8" s="11">
        <v>2.0</v>
      </c>
      <c r="U8" s="5">
        <f t="shared" si="1"/>
        <v>54</v>
      </c>
      <c r="V8" s="14">
        <f t="shared" si="2"/>
        <v>3.6</v>
      </c>
      <c r="W8" s="14">
        <f t="shared" si="3"/>
        <v>0.9102589898</v>
      </c>
      <c r="X8" s="5">
        <f t="shared" si="4"/>
        <v>4</v>
      </c>
      <c r="Y8" s="5">
        <f t="shared" si="5"/>
        <v>2</v>
      </c>
      <c r="Z8" s="5">
        <f t="shared" si="6"/>
        <v>5</v>
      </c>
    </row>
    <row r="9" ht="12.75" customHeight="1">
      <c r="A9" s="5" t="s">
        <v>58</v>
      </c>
      <c r="B9" s="6" t="s">
        <v>59</v>
      </c>
      <c r="C9" s="6" t="s">
        <v>65</v>
      </c>
      <c r="D9" s="6" t="s">
        <v>61</v>
      </c>
      <c r="E9" s="7" t="s">
        <v>8</v>
      </c>
      <c r="F9" s="10">
        <v>3.0</v>
      </c>
      <c r="G9" s="11">
        <v>5.0</v>
      </c>
      <c r="H9" s="10">
        <v>4.0</v>
      </c>
      <c r="I9" s="11">
        <v>5.0</v>
      </c>
      <c r="J9" s="10">
        <v>4.0</v>
      </c>
      <c r="K9" s="11">
        <v>4.0</v>
      </c>
      <c r="L9" s="10">
        <v>4.0</v>
      </c>
      <c r="M9" s="11">
        <v>4.0</v>
      </c>
      <c r="N9" s="10">
        <v>5.0</v>
      </c>
      <c r="O9" s="11">
        <v>4.0</v>
      </c>
      <c r="P9" s="10">
        <v>3.0</v>
      </c>
      <c r="Q9" s="11">
        <v>4.0</v>
      </c>
      <c r="R9" s="10">
        <v>5.0</v>
      </c>
      <c r="S9" s="11">
        <v>4.0</v>
      </c>
      <c r="T9" s="11">
        <v>3.0</v>
      </c>
      <c r="U9" s="5">
        <f t="shared" si="1"/>
        <v>61</v>
      </c>
      <c r="V9" s="14">
        <f t="shared" si="2"/>
        <v>4.066666667</v>
      </c>
      <c r="W9" s="14">
        <f t="shared" si="3"/>
        <v>0.7037315505</v>
      </c>
      <c r="X9" s="5">
        <f t="shared" si="4"/>
        <v>4</v>
      </c>
      <c r="Y9" s="5">
        <f t="shared" si="5"/>
        <v>3</v>
      </c>
      <c r="Z9" s="5">
        <f t="shared" si="6"/>
        <v>5</v>
      </c>
    </row>
    <row r="10" ht="12.75" customHeight="1">
      <c r="A10" s="6" t="s">
        <v>66</v>
      </c>
      <c r="B10" s="6" t="s">
        <v>59</v>
      </c>
      <c r="C10" s="6" t="s">
        <v>67</v>
      </c>
      <c r="D10" s="6" t="s">
        <v>61</v>
      </c>
      <c r="E10" s="7" t="s">
        <v>68</v>
      </c>
      <c r="F10" s="10">
        <v>3.0</v>
      </c>
      <c r="G10" s="11">
        <v>5.0</v>
      </c>
      <c r="H10" s="10">
        <v>5.0</v>
      </c>
      <c r="I10" s="11">
        <v>5.0</v>
      </c>
      <c r="J10" s="10">
        <v>4.0</v>
      </c>
      <c r="K10" s="11">
        <v>4.0</v>
      </c>
      <c r="L10" s="10">
        <v>4.0</v>
      </c>
      <c r="M10" s="11">
        <v>2.0</v>
      </c>
      <c r="N10" s="10">
        <v>4.0</v>
      </c>
      <c r="O10" s="11">
        <v>4.0</v>
      </c>
      <c r="P10" s="10">
        <v>3.0</v>
      </c>
      <c r="Q10" s="11">
        <v>4.0</v>
      </c>
      <c r="R10" s="10">
        <v>5.0</v>
      </c>
      <c r="S10" s="11">
        <v>4.0</v>
      </c>
      <c r="T10" s="11">
        <v>5.0</v>
      </c>
      <c r="U10" s="5">
        <f t="shared" si="1"/>
        <v>61</v>
      </c>
      <c r="V10" s="14">
        <f t="shared" si="2"/>
        <v>4.066666667</v>
      </c>
      <c r="W10" s="14">
        <f t="shared" si="3"/>
        <v>0.8837151017</v>
      </c>
      <c r="X10" s="5">
        <f t="shared" si="4"/>
        <v>4</v>
      </c>
      <c r="Y10" s="5">
        <f t="shared" si="5"/>
        <v>2</v>
      </c>
      <c r="Z10" s="5">
        <f t="shared" si="6"/>
        <v>5</v>
      </c>
    </row>
    <row r="11" ht="12.75" customHeight="1">
      <c r="A11" s="6" t="s">
        <v>66</v>
      </c>
      <c r="B11" s="6" t="s">
        <v>59</v>
      </c>
      <c r="C11" s="6" t="s">
        <v>69</v>
      </c>
      <c r="D11" s="6" t="s">
        <v>61</v>
      </c>
      <c r="E11" s="7" t="s">
        <v>70</v>
      </c>
      <c r="F11" s="10">
        <v>3.0</v>
      </c>
      <c r="G11" s="11">
        <v>5.0</v>
      </c>
      <c r="H11" s="10">
        <v>4.0</v>
      </c>
      <c r="I11" s="11">
        <v>4.0</v>
      </c>
      <c r="J11" s="10">
        <v>3.0</v>
      </c>
      <c r="K11" s="11">
        <v>4.0</v>
      </c>
      <c r="L11" s="10">
        <v>5.0</v>
      </c>
      <c r="M11" s="11">
        <v>3.0</v>
      </c>
      <c r="N11" s="10">
        <v>5.0</v>
      </c>
      <c r="O11" s="11">
        <v>3.0</v>
      </c>
      <c r="P11" s="10">
        <v>3.0</v>
      </c>
      <c r="Q11" s="11">
        <v>5.0</v>
      </c>
      <c r="R11" s="10">
        <v>5.0</v>
      </c>
      <c r="S11" s="11">
        <v>4.0</v>
      </c>
      <c r="T11" s="11">
        <v>5.0</v>
      </c>
      <c r="U11" s="5">
        <f t="shared" si="1"/>
        <v>61</v>
      </c>
      <c r="V11" s="14">
        <f t="shared" si="2"/>
        <v>4.066666667</v>
      </c>
      <c r="W11" s="14">
        <f t="shared" si="3"/>
        <v>0.8837151017</v>
      </c>
      <c r="X11" s="5">
        <f t="shared" si="4"/>
        <v>4</v>
      </c>
      <c r="Y11" s="5">
        <f t="shared" si="5"/>
        <v>3</v>
      </c>
      <c r="Z11" s="5">
        <f t="shared" si="6"/>
        <v>5</v>
      </c>
    </row>
    <row r="12" ht="12.75" customHeight="1">
      <c r="A12" s="6" t="s">
        <v>66</v>
      </c>
      <c r="B12" s="6" t="s">
        <v>59</v>
      </c>
      <c r="C12" s="6" t="s">
        <v>71</v>
      </c>
      <c r="D12" s="6" t="s">
        <v>61</v>
      </c>
      <c r="E12" s="7" t="s">
        <v>72</v>
      </c>
      <c r="F12" s="10">
        <v>2.0</v>
      </c>
      <c r="G12" s="11">
        <v>5.0</v>
      </c>
      <c r="H12" s="10">
        <v>4.0</v>
      </c>
      <c r="I12" s="11">
        <v>3.0</v>
      </c>
      <c r="J12" s="10">
        <v>4.0</v>
      </c>
      <c r="K12" s="11">
        <v>4.0</v>
      </c>
      <c r="L12" s="10">
        <v>5.0</v>
      </c>
      <c r="M12" s="11">
        <v>3.0</v>
      </c>
      <c r="N12" s="10">
        <v>5.0</v>
      </c>
      <c r="O12" s="11">
        <v>4.0</v>
      </c>
      <c r="P12" s="10">
        <v>3.0</v>
      </c>
      <c r="Q12" s="11">
        <v>5.0</v>
      </c>
      <c r="R12" s="10">
        <v>5.0</v>
      </c>
      <c r="S12" s="11">
        <v>3.0</v>
      </c>
      <c r="T12" s="11">
        <v>5.0</v>
      </c>
      <c r="U12" s="5">
        <f t="shared" si="1"/>
        <v>60</v>
      </c>
      <c r="V12" s="14">
        <f t="shared" si="2"/>
        <v>4</v>
      </c>
      <c r="W12" s="14">
        <f t="shared" si="3"/>
        <v>1</v>
      </c>
      <c r="X12" s="5">
        <f t="shared" si="4"/>
        <v>4</v>
      </c>
      <c r="Y12" s="5">
        <f t="shared" si="5"/>
        <v>2</v>
      </c>
      <c r="Z12" s="5">
        <f t="shared" si="6"/>
        <v>5</v>
      </c>
    </row>
    <row r="13" ht="12.75" customHeight="1">
      <c r="A13" s="6" t="s">
        <v>66</v>
      </c>
      <c r="B13" s="6" t="s">
        <v>59</v>
      </c>
      <c r="C13" s="6" t="s">
        <v>73</v>
      </c>
      <c r="D13" s="6" t="s">
        <v>61</v>
      </c>
      <c r="E13" s="7" t="s">
        <v>74</v>
      </c>
      <c r="F13" s="10">
        <v>3.0</v>
      </c>
      <c r="G13" s="11">
        <v>5.0</v>
      </c>
      <c r="H13" s="10">
        <v>5.0</v>
      </c>
      <c r="I13" s="11">
        <v>2.0</v>
      </c>
      <c r="J13" s="10">
        <v>3.0</v>
      </c>
      <c r="K13" s="11">
        <v>3.0</v>
      </c>
      <c r="L13" s="10">
        <v>4.0</v>
      </c>
      <c r="M13" s="11">
        <v>2.0</v>
      </c>
      <c r="N13" s="10">
        <v>4.0</v>
      </c>
      <c r="O13" s="11">
        <v>4.0</v>
      </c>
      <c r="P13" s="10">
        <v>3.0</v>
      </c>
      <c r="Q13" s="11">
        <v>4.0</v>
      </c>
      <c r="R13" s="10">
        <v>5.0</v>
      </c>
      <c r="S13" s="11">
        <v>4.0</v>
      </c>
      <c r="T13" s="11">
        <v>3.0</v>
      </c>
      <c r="U13" s="5">
        <f t="shared" si="1"/>
        <v>54</v>
      </c>
      <c r="V13" s="14">
        <f t="shared" si="2"/>
        <v>3.6</v>
      </c>
      <c r="W13" s="14">
        <f t="shared" si="3"/>
        <v>0.9856107606</v>
      </c>
      <c r="X13" s="5">
        <f t="shared" si="4"/>
        <v>4</v>
      </c>
      <c r="Y13" s="5">
        <f t="shared" si="5"/>
        <v>2</v>
      </c>
      <c r="Z13" s="5">
        <f t="shared" si="6"/>
        <v>5</v>
      </c>
    </row>
    <row r="14" ht="12.75" customHeight="1">
      <c r="A14" s="6" t="s">
        <v>66</v>
      </c>
      <c r="B14" s="6" t="s">
        <v>59</v>
      </c>
      <c r="C14" s="6" t="s">
        <v>75</v>
      </c>
      <c r="D14" s="6" t="s">
        <v>61</v>
      </c>
      <c r="E14" s="7" t="s">
        <v>76</v>
      </c>
      <c r="F14" s="10">
        <v>2.0</v>
      </c>
      <c r="G14" s="11">
        <v>5.0</v>
      </c>
      <c r="H14" s="10">
        <v>5.0</v>
      </c>
      <c r="I14" s="11">
        <v>5.0</v>
      </c>
      <c r="J14" s="10">
        <v>4.0</v>
      </c>
      <c r="K14" s="11">
        <v>4.0</v>
      </c>
      <c r="L14" s="10">
        <v>4.0</v>
      </c>
      <c r="M14" s="11">
        <v>1.0</v>
      </c>
      <c r="N14" s="10">
        <v>3.0</v>
      </c>
      <c r="O14" s="11">
        <v>4.0</v>
      </c>
      <c r="P14" s="10">
        <v>3.0</v>
      </c>
      <c r="Q14" s="11">
        <v>3.0</v>
      </c>
      <c r="R14" s="10">
        <v>5.0</v>
      </c>
      <c r="S14" s="11">
        <v>4.0</v>
      </c>
      <c r="T14" s="11">
        <v>2.0</v>
      </c>
      <c r="U14" s="5">
        <f t="shared" si="1"/>
        <v>54</v>
      </c>
      <c r="V14" s="14">
        <f t="shared" si="2"/>
        <v>3.6</v>
      </c>
      <c r="W14" s="14">
        <f t="shared" si="3"/>
        <v>1.242118007</v>
      </c>
      <c r="X14" s="5">
        <f t="shared" si="4"/>
        <v>4</v>
      </c>
      <c r="Y14" s="5">
        <f t="shared" si="5"/>
        <v>1</v>
      </c>
      <c r="Z14" s="5">
        <f t="shared" si="6"/>
        <v>5</v>
      </c>
    </row>
    <row r="15" ht="12.75" customHeight="1">
      <c r="A15" s="5" t="s">
        <v>58</v>
      </c>
      <c r="B15" s="6" t="s">
        <v>77</v>
      </c>
      <c r="C15" s="6" t="s">
        <v>60</v>
      </c>
      <c r="D15" s="6" t="s">
        <v>78</v>
      </c>
      <c r="E15" s="7" t="s">
        <v>4</v>
      </c>
      <c r="F15" s="10">
        <v>4.0</v>
      </c>
      <c r="G15" s="11">
        <v>5.0</v>
      </c>
      <c r="H15" s="10">
        <v>5.0</v>
      </c>
      <c r="I15" s="11">
        <v>5.0</v>
      </c>
      <c r="J15" s="10">
        <v>3.0</v>
      </c>
      <c r="K15" s="11">
        <v>4.0</v>
      </c>
      <c r="L15" s="10">
        <v>5.0</v>
      </c>
      <c r="M15" s="11">
        <v>5.0</v>
      </c>
      <c r="N15" s="10">
        <v>5.0</v>
      </c>
      <c r="O15" s="11">
        <v>4.0</v>
      </c>
      <c r="P15" s="10">
        <v>3.0</v>
      </c>
      <c r="Q15" s="11">
        <v>5.0</v>
      </c>
      <c r="R15" s="10">
        <v>5.0</v>
      </c>
      <c r="S15" s="11">
        <v>4.0</v>
      </c>
      <c r="T15" s="11">
        <v>5.0</v>
      </c>
      <c r="U15" s="5">
        <f t="shared" si="1"/>
        <v>67</v>
      </c>
      <c r="V15" s="14">
        <f t="shared" si="2"/>
        <v>4.466666667</v>
      </c>
      <c r="W15" s="14">
        <f t="shared" si="3"/>
        <v>0.743223353</v>
      </c>
      <c r="X15" s="5">
        <f t="shared" si="4"/>
        <v>5</v>
      </c>
      <c r="Y15" s="5">
        <f t="shared" si="5"/>
        <v>3</v>
      </c>
      <c r="Z15" s="5">
        <f t="shared" si="6"/>
        <v>5</v>
      </c>
    </row>
    <row r="16" ht="12.75" customHeight="1">
      <c r="A16" s="5" t="s">
        <v>58</v>
      </c>
      <c r="B16" s="6" t="s">
        <v>77</v>
      </c>
      <c r="C16" s="6" t="s">
        <v>62</v>
      </c>
      <c r="D16" s="6" t="s">
        <v>78</v>
      </c>
      <c r="E16" s="7" t="s">
        <v>5</v>
      </c>
      <c r="F16" s="10">
        <v>5.0</v>
      </c>
      <c r="G16" s="11">
        <v>5.0</v>
      </c>
      <c r="H16" s="10">
        <v>5.0</v>
      </c>
      <c r="I16" s="11">
        <v>5.0</v>
      </c>
      <c r="J16" s="10">
        <v>3.0</v>
      </c>
      <c r="K16" s="11">
        <v>4.0</v>
      </c>
      <c r="L16" s="10">
        <v>5.0</v>
      </c>
      <c r="M16" s="11">
        <v>4.0</v>
      </c>
      <c r="N16" s="10">
        <v>5.0</v>
      </c>
      <c r="O16" s="11">
        <v>4.0</v>
      </c>
      <c r="P16" s="10">
        <v>3.0</v>
      </c>
      <c r="Q16" s="11">
        <v>5.0</v>
      </c>
      <c r="R16" s="10">
        <v>5.0</v>
      </c>
      <c r="S16" s="11">
        <v>5.0</v>
      </c>
      <c r="T16" s="11">
        <v>5.0</v>
      </c>
      <c r="U16" s="5">
        <f t="shared" si="1"/>
        <v>68</v>
      </c>
      <c r="V16" s="14">
        <f t="shared" si="2"/>
        <v>4.533333333</v>
      </c>
      <c r="W16" s="14">
        <f t="shared" si="3"/>
        <v>0.743223353</v>
      </c>
      <c r="X16" s="5">
        <f t="shared" si="4"/>
        <v>5</v>
      </c>
      <c r="Y16" s="5">
        <f t="shared" si="5"/>
        <v>3</v>
      </c>
      <c r="Z16" s="5">
        <f t="shared" si="6"/>
        <v>5</v>
      </c>
    </row>
    <row r="17" ht="12.75" customHeight="1">
      <c r="A17" s="5" t="s">
        <v>58</v>
      </c>
      <c r="B17" s="6" t="s">
        <v>77</v>
      </c>
      <c r="C17" s="6" t="s">
        <v>63</v>
      </c>
      <c r="D17" s="6" t="s">
        <v>78</v>
      </c>
      <c r="E17" s="7" t="s">
        <v>6</v>
      </c>
      <c r="F17" s="10">
        <v>5.0</v>
      </c>
      <c r="G17" s="11">
        <v>5.0</v>
      </c>
      <c r="H17" s="10">
        <v>5.0</v>
      </c>
      <c r="I17" s="11">
        <v>5.0</v>
      </c>
      <c r="J17" s="10">
        <v>3.0</v>
      </c>
      <c r="K17" s="11">
        <v>4.0</v>
      </c>
      <c r="L17" s="10">
        <v>5.0</v>
      </c>
      <c r="M17" s="11">
        <v>3.0</v>
      </c>
      <c r="N17" s="10">
        <v>5.0</v>
      </c>
      <c r="O17" s="11">
        <v>3.0</v>
      </c>
      <c r="P17" s="10">
        <v>3.0</v>
      </c>
      <c r="Q17" s="11">
        <v>5.0</v>
      </c>
      <c r="R17" s="10">
        <v>5.0</v>
      </c>
      <c r="S17" s="11">
        <v>5.0</v>
      </c>
      <c r="T17" s="11">
        <v>4.0</v>
      </c>
      <c r="U17" s="5">
        <f t="shared" si="1"/>
        <v>65</v>
      </c>
      <c r="V17" s="14">
        <f t="shared" si="2"/>
        <v>4.333333333</v>
      </c>
      <c r="W17" s="14">
        <f t="shared" si="3"/>
        <v>0.8997354108</v>
      </c>
      <c r="X17" s="5">
        <f t="shared" si="4"/>
        <v>5</v>
      </c>
      <c r="Y17" s="5">
        <f t="shared" si="5"/>
        <v>3</v>
      </c>
      <c r="Z17" s="5">
        <f t="shared" si="6"/>
        <v>5</v>
      </c>
    </row>
    <row r="18" ht="12.75" customHeight="1">
      <c r="A18" s="5" t="s">
        <v>58</v>
      </c>
      <c r="B18" s="6" t="s">
        <v>77</v>
      </c>
      <c r="C18" s="6" t="s">
        <v>64</v>
      </c>
      <c r="D18" s="6" t="s">
        <v>78</v>
      </c>
      <c r="E18" s="7" t="s">
        <v>7</v>
      </c>
      <c r="F18" s="10">
        <v>4.0</v>
      </c>
      <c r="G18" s="11">
        <v>5.0</v>
      </c>
      <c r="H18" s="10">
        <v>5.0</v>
      </c>
      <c r="I18" s="11">
        <v>5.0</v>
      </c>
      <c r="J18" s="10">
        <v>3.0</v>
      </c>
      <c r="K18" s="11">
        <v>3.0</v>
      </c>
      <c r="L18" s="10">
        <v>5.0</v>
      </c>
      <c r="M18" s="11">
        <v>3.0</v>
      </c>
      <c r="N18" s="10">
        <v>5.0</v>
      </c>
      <c r="O18" s="11">
        <v>4.0</v>
      </c>
      <c r="P18" s="10">
        <v>3.0</v>
      </c>
      <c r="Q18" s="11">
        <v>4.0</v>
      </c>
      <c r="R18" s="10">
        <v>5.0</v>
      </c>
      <c r="S18" s="11">
        <v>4.0</v>
      </c>
      <c r="T18" s="11">
        <v>5.0</v>
      </c>
      <c r="U18" s="5">
        <f t="shared" si="1"/>
        <v>63</v>
      </c>
      <c r="V18" s="14">
        <f t="shared" si="2"/>
        <v>4.2</v>
      </c>
      <c r="W18" s="14">
        <f t="shared" si="3"/>
        <v>0.8618916074</v>
      </c>
      <c r="X18" s="5">
        <f t="shared" si="4"/>
        <v>4</v>
      </c>
      <c r="Y18" s="5">
        <f t="shared" si="5"/>
        <v>3</v>
      </c>
      <c r="Z18" s="5">
        <f t="shared" si="6"/>
        <v>5</v>
      </c>
    </row>
    <row r="19" ht="12.75" customHeight="1">
      <c r="A19" s="5" t="s">
        <v>58</v>
      </c>
      <c r="B19" s="6" t="s">
        <v>77</v>
      </c>
      <c r="C19" s="6" t="s">
        <v>65</v>
      </c>
      <c r="D19" s="6" t="s">
        <v>78</v>
      </c>
      <c r="E19" s="7" t="s">
        <v>8</v>
      </c>
      <c r="F19" s="10">
        <v>4.0</v>
      </c>
      <c r="G19" s="11">
        <v>5.0</v>
      </c>
      <c r="H19" s="10">
        <v>4.0</v>
      </c>
      <c r="I19" s="11">
        <v>5.0</v>
      </c>
      <c r="J19" s="10">
        <v>4.0</v>
      </c>
      <c r="K19" s="11">
        <v>4.0</v>
      </c>
      <c r="L19" s="10">
        <v>4.0</v>
      </c>
      <c r="M19" s="11">
        <v>4.0</v>
      </c>
      <c r="N19" s="10">
        <v>5.0</v>
      </c>
      <c r="O19" s="11">
        <v>4.0</v>
      </c>
      <c r="P19" s="10">
        <v>4.0</v>
      </c>
      <c r="Q19" s="11">
        <v>5.0</v>
      </c>
      <c r="R19" s="10">
        <v>5.0</v>
      </c>
      <c r="S19" s="11">
        <v>5.0</v>
      </c>
      <c r="T19" s="11">
        <v>5.0</v>
      </c>
      <c r="U19" s="5">
        <f t="shared" si="1"/>
        <v>67</v>
      </c>
      <c r="V19" s="14">
        <f t="shared" si="2"/>
        <v>4.466666667</v>
      </c>
      <c r="W19" s="14">
        <f t="shared" si="3"/>
        <v>0.5163977795</v>
      </c>
      <c r="X19" s="5">
        <f t="shared" si="4"/>
        <v>4</v>
      </c>
      <c r="Y19" s="5">
        <f t="shared" si="5"/>
        <v>4</v>
      </c>
      <c r="Z19" s="5">
        <f t="shared" si="6"/>
        <v>5</v>
      </c>
    </row>
    <row r="20" ht="12.75" customHeight="1">
      <c r="A20" s="6" t="s">
        <v>66</v>
      </c>
      <c r="B20" s="6" t="s">
        <v>77</v>
      </c>
      <c r="C20" s="6" t="s">
        <v>67</v>
      </c>
      <c r="D20" s="6" t="s">
        <v>78</v>
      </c>
      <c r="E20" s="7" t="s">
        <v>68</v>
      </c>
      <c r="F20" s="10">
        <v>5.0</v>
      </c>
      <c r="G20" s="11">
        <v>5.0</v>
      </c>
      <c r="H20" s="10">
        <v>4.0</v>
      </c>
      <c r="I20" s="11">
        <v>5.0</v>
      </c>
      <c r="J20" s="10">
        <v>3.0</v>
      </c>
      <c r="K20" s="11">
        <v>4.0</v>
      </c>
      <c r="L20" s="10">
        <v>5.0</v>
      </c>
      <c r="M20" s="11">
        <v>3.0</v>
      </c>
      <c r="N20" s="10">
        <v>5.0</v>
      </c>
      <c r="O20" s="11">
        <v>4.0</v>
      </c>
      <c r="P20" s="10">
        <v>3.0</v>
      </c>
      <c r="Q20" s="11">
        <v>5.0</v>
      </c>
      <c r="R20" s="10">
        <v>5.0</v>
      </c>
      <c r="S20" s="11">
        <v>5.0</v>
      </c>
      <c r="T20" s="11">
        <v>5.0</v>
      </c>
      <c r="U20" s="5">
        <f t="shared" si="1"/>
        <v>66</v>
      </c>
      <c r="V20" s="14">
        <f t="shared" si="2"/>
        <v>4.4</v>
      </c>
      <c r="W20" s="14">
        <f t="shared" si="3"/>
        <v>0.8280786712</v>
      </c>
      <c r="X20" s="5">
        <f t="shared" si="4"/>
        <v>5</v>
      </c>
      <c r="Y20" s="5">
        <f t="shared" si="5"/>
        <v>3</v>
      </c>
      <c r="Z20" s="5">
        <f t="shared" si="6"/>
        <v>5</v>
      </c>
    </row>
    <row r="21" ht="12.75" customHeight="1">
      <c r="A21" s="6" t="s">
        <v>66</v>
      </c>
      <c r="B21" s="6" t="s">
        <v>77</v>
      </c>
      <c r="C21" s="6" t="s">
        <v>69</v>
      </c>
      <c r="D21" s="6" t="s">
        <v>78</v>
      </c>
      <c r="E21" s="7" t="s">
        <v>70</v>
      </c>
      <c r="F21" s="10">
        <v>5.0</v>
      </c>
      <c r="G21" s="11">
        <v>5.0</v>
      </c>
      <c r="H21" s="10">
        <v>4.0</v>
      </c>
      <c r="I21" s="11">
        <v>5.0</v>
      </c>
      <c r="J21" s="10">
        <v>3.0</v>
      </c>
      <c r="K21" s="11">
        <v>4.0</v>
      </c>
      <c r="L21" s="10">
        <v>5.0</v>
      </c>
      <c r="M21" s="11">
        <v>4.0</v>
      </c>
      <c r="N21" s="10">
        <v>5.0</v>
      </c>
      <c r="O21" s="11">
        <v>4.0</v>
      </c>
      <c r="P21" s="10">
        <v>3.0</v>
      </c>
      <c r="Q21" s="11">
        <v>5.0</v>
      </c>
      <c r="R21" s="10">
        <v>5.0</v>
      </c>
      <c r="S21" s="11">
        <v>5.0</v>
      </c>
      <c r="T21" s="11">
        <v>5.0</v>
      </c>
      <c r="U21" s="5">
        <f t="shared" si="1"/>
        <v>67</v>
      </c>
      <c r="V21" s="14">
        <f t="shared" si="2"/>
        <v>4.466666667</v>
      </c>
      <c r="W21" s="14">
        <f t="shared" si="3"/>
        <v>0.743223353</v>
      </c>
      <c r="X21" s="5">
        <f t="shared" si="4"/>
        <v>5</v>
      </c>
      <c r="Y21" s="5">
        <f t="shared" si="5"/>
        <v>3</v>
      </c>
      <c r="Z21" s="5">
        <f t="shared" si="6"/>
        <v>5</v>
      </c>
    </row>
    <row r="22" ht="12.75" customHeight="1">
      <c r="A22" s="6" t="s">
        <v>66</v>
      </c>
      <c r="B22" s="6" t="s">
        <v>77</v>
      </c>
      <c r="C22" s="6" t="s">
        <v>71</v>
      </c>
      <c r="D22" s="6" t="s">
        <v>78</v>
      </c>
      <c r="E22" s="7" t="s">
        <v>72</v>
      </c>
      <c r="F22" s="10">
        <v>5.0</v>
      </c>
      <c r="G22" s="11">
        <v>5.0</v>
      </c>
      <c r="H22" s="10">
        <v>3.0</v>
      </c>
      <c r="I22" s="11">
        <v>5.0</v>
      </c>
      <c r="J22" s="10">
        <v>3.0</v>
      </c>
      <c r="K22" s="11">
        <v>4.0</v>
      </c>
      <c r="L22" s="10">
        <v>5.0</v>
      </c>
      <c r="M22" s="11">
        <v>3.0</v>
      </c>
      <c r="N22" s="10">
        <v>5.0</v>
      </c>
      <c r="O22" s="11">
        <v>4.0</v>
      </c>
      <c r="P22" s="10">
        <v>3.0</v>
      </c>
      <c r="Q22" s="11">
        <v>5.0</v>
      </c>
      <c r="R22" s="10">
        <v>5.0</v>
      </c>
      <c r="S22" s="11">
        <v>5.0</v>
      </c>
      <c r="T22" s="11">
        <v>5.0</v>
      </c>
      <c r="U22" s="5">
        <f t="shared" si="1"/>
        <v>65</v>
      </c>
      <c r="V22" s="14">
        <f t="shared" si="2"/>
        <v>4.333333333</v>
      </c>
      <c r="W22" s="14">
        <f t="shared" si="3"/>
        <v>0.8997354108</v>
      </c>
      <c r="X22" s="5">
        <f t="shared" si="4"/>
        <v>5</v>
      </c>
      <c r="Y22" s="5">
        <f t="shared" si="5"/>
        <v>3</v>
      </c>
      <c r="Z22" s="5">
        <f t="shared" si="6"/>
        <v>5</v>
      </c>
    </row>
    <row r="23" ht="12.75" customHeight="1">
      <c r="A23" s="6" t="s">
        <v>66</v>
      </c>
      <c r="B23" s="6" t="s">
        <v>77</v>
      </c>
      <c r="C23" s="6" t="s">
        <v>73</v>
      </c>
      <c r="D23" s="6" t="s">
        <v>78</v>
      </c>
      <c r="E23" s="7" t="s">
        <v>74</v>
      </c>
      <c r="F23" s="10">
        <v>5.0</v>
      </c>
      <c r="G23" s="11">
        <v>5.0</v>
      </c>
      <c r="H23" s="10">
        <v>4.0</v>
      </c>
      <c r="I23" s="11">
        <v>5.0</v>
      </c>
      <c r="J23" s="10">
        <v>3.0</v>
      </c>
      <c r="K23" s="11">
        <v>4.0</v>
      </c>
      <c r="L23" s="10">
        <v>5.0</v>
      </c>
      <c r="M23" s="11">
        <v>3.0</v>
      </c>
      <c r="N23" s="10">
        <v>5.0</v>
      </c>
      <c r="O23" s="11">
        <v>3.0</v>
      </c>
      <c r="P23" s="10">
        <v>3.0</v>
      </c>
      <c r="Q23" s="11">
        <v>3.0</v>
      </c>
      <c r="R23" s="10">
        <v>5.0</v>
      </c>
      <c r="S23" s="11">
        <v>4.0</v>
      </c>
      <c r="T23" s="11">
        <v>5.0</v>
      </c>
      <c r="U23" s="5">
        <f t="shared" si="1"/>
        <v>62</v>
      </c>
      <c r="V23" s="14">
        <f t="shared" si="2"/>
        <v>4.133333333</v>
      </c>
      <c r="W23" s="14">
        <f t="shared" si="3"/>
        <v>0.9154754164</v>
      </c>
      <c r="X23" s="5">
        <f t="shared" si="4"/>
        <v>4</v>
      </c>
      <c r="Y23" s="5">
        <f t="shared" si="5"/>
        <v>3</v>
      </c>
      <c r="Z23" s="5">
        <f t="shared" si="6"/>
        <v>5</v>
      </c>
    </row>
    <row r="24" ht="12.75" customHeight="1">
      <c r="A24" s="6" t="s">
        <v>66</v>
      </c>
      <c r="B24" s="6" t="s">
        <v>77</v>
      </c>
      <c r="C24" s="6" t="s">
        <v>75</v>
      </c>
      <c r="D24" s="6" t="s">
        <v>78</v>
      </c>
      <c r="E24" s="7" t="s">
        <v>76</v>
      </c>
      <c r="F24" s="10">
        <v>5.0</v>
      </c>
      <c r="G24" s="11">
        <v>5.0</v>
      </c>
      <c r="H24" s="10">
        <v>5.0</v>
      </c>
      <c r="I24" s="11">
        <v>5.0</v>
      </c>
      <c r="J24" s="10">
        <v>3.0</v>
      </c>
      <c r="K24" s="11">
        <v>3.0</v>
      </c>
      <c r="L24" s="10">
        <v>5.0</v>
      </c>
      <c r="M24" s="11">
        <v>3.0</v>
      </c>
      <c r="N24" s="10">
        <v>5.0</v>
      </c>
      <c r="O24" s="11">
        <v>4.0</v>
      </c>
      <c r="P24" s="10">
        <v>3.0</v>
      </c>
      <c r="Q24" s="11">
        <v>2.0</v>
      </c>
      <c r="R24" s="10">
        <v>5.0</v>
      </c>
      <c r="S24" s="11">
        <v>5.0</v>
      </c>
      <c r="T24" s="11">
        <v>5.0</v>
      </c>
      <c r="U24" s="5">
        <f t="shared" si="1"/>
        <v>63</v>
      </c>
      <c r="V24" s="14">
        <f t="shared" si="2"/>
        <v>4.2</v>
      </c>
      <c r="W24" s="14">
        <f t="shared" si="3"/>
        <v>1.082325539</v>
      </c>
      <c r="X24" s="5">
        <f t="shared" si="4"/>
        <v>5</v>
      </c>
      <c r="Y24" s="5">
        <f t="shared" si="5"/>
        <v>2</v>
      </c>
      <c r="Z24" s="5">
        <f t="shared" si="6"/>
        <v>5</v>
      </c>
    </row>
    <row r="25" ht="12.75" customHeight="1">
      <c r="A25" s="5" t="s">
        <v>58</v>
      </c>
      <c r="B25" s="6" t="s">
        <v>79</v>
      </c>
      <c r="C25" s="6" t="s">
        <v>60</v>
      </c>
      <c r="D25" s="6" t="s">
        <v>80</v>
      </c>
      <c r="E25" s="7" t="s">
        <v>4</v>
      </c>
      <c r="F25" s="10">
        <v>5.0</v>
      </c>
      <c r="G25" s="11">
        <v>5.0</v>
      </c>
      <c r="H25" s="10">
        <v>5.0</v>
      </c>
      <c r="I25" s="11">
        <v>4.0</v>
      </c>
      <c r="J25" s="10">
        <v>3.0</v>
      </c>
      <c r="K25" s="11">
        <v>4.0</v>
      </c>
      <c r="L25" s="10">
        <v>5.0</v>
      </c>
      <c r="M25" s="11">
        <v>5.0</v>
      </c>
      <c r="N25" s="10">
        <v>3.0</v>
      </c>
      <c r="O25" s="11">
        <v>4.0</v>
      </c>
      <c r="P25" s="10">
        <v>4.0</v>
      </c>
      <c r="Q25" s="11">
        <v>5.0</v>
      </c>
      <c r="R25" s="10">
        <v>5.0</v>
      </c>
      <c r="S25" s="11">
        <v>4.0</v>
      </c>
      <c r="T25" s="11">
        <v>5.0</v>
      </c>
      <c r="U25" s="5">
        <f t="shared" si="1"/>
        <v>66</v>
      </c>
      <c r="V25" s="14">
        <f t="shared" si="2"/>
        <v>4.4</v>
      </c>
      <c r="W25" s="14">
        <f t="shared" si="3"/>
        <v>0.7367883976</v>
      </c>
      <c r="X25" s="5">
        <f t="shared" si="4"/>
        <v>5</v>
      </c>
      <c r="Y25" s="5">
        <f t="shared" si="5"/>
        <v>3</v>
      </c>
      <c r="Z25" s="5">
        <f t="shared" si="6"/>
        <v>5</v>
      </c>
    </row>
    <row r="26" ht="12.75" customHeight="1">
      <c r="A26" s="5" t="s">
        <v>58</v>
      </c>
      <c r="B26" s="6" t="s">
        <v>79</v>
      </c>
      <c r="C26" s="6" t="s">
        <v>62</v>
      </c>
      <c r="D26" s="6" t="s">
        <v>80</v>
      </c>
      <c r="E26" s="7" t="s">
        <v>5</v>
      </c>
      <c r="F26" s="10">
        <v>5.0</v>
      </c>
      <c r="G26" s="11">
        <v>5.0</v>
      </c>
      <c r="H26" s="10">
        <v>4.0</v>
      </c>
      <c r="I26" s="11">
        <v>4.0</v>
      </c>
      <c r="J26" s="10">
        <v>3.0</v>
      </c>
      <c r="K26" s="11">
        <v>4.0</v>
      </c>
      <c r="L26" s="10">
        <v>5.0</v>
      </c>
      <c r="M26" s="11">
        <v>5.0</v>
      </c>
      <c r="N26" s="10">
        <v>3.0</v>
      </c>
      <c r="O26" s="11">
        <v>4.0</v>
      </c>
      <c r="P26" s="10">
        <v>3.0</v>
      </c>
      <c r="Q26" s="11">
        <v>5.0</v>
      </c>
      <c r="R26" s="10">
        <v>5.0</v>
      </c>
      <c r="S26" s="11">
        <v>3.0</v>
      </c>
      <c r="T26" s="11">
        <v>5.0</v>
      </c>
      <c r="U26" s="5">
        <f t="shared" si="1"/>
        <v>63</v>
      </c>
      <c r="V26" s="14">
        <f t="shared" si="2"/>
        <v>4.2</v>
      </c>
      <c r="W26" s="14">
        <f t="shared" si="3"/>
        <v>0.8618916074</v>
      </c>
      <c r="X26" s="5">
        <f t="shared" si="4"/>
        <v>4</v>
      </c>
      <c r="Y26" s="5">
        <f t="shared" si="5"/>
        <v>3</v>
      </c>
      <c r="Z26" s="5">
        <f t="shared" si="6"/>
        <v>5</v>
      </c>
    </row>
    <row r="27" ht="12.75" customHeight="1">
      <c r="A27" s="5" t="s">
        <v>58</v>
      </c>
      <c r="B27" s="6" t="s">
        <v>79</v>
      </c>
      <c r="C27" s="6" t="s">
        <v>63</v>
      </c>
      <c r="D27" s="6" t="s">
        <v>80</v>
      </c>
      <c r="E27" s="7" t="s">
        <v>6</v>
      </c>
      <c r="F27" s="10">
        <v>4.0</v>
      </c>
      <c r="G27" s="11">
        <v>5.0</v>
      </c>
      <c r="H27" s="10">
        <v>4.0</v>
      </c>
      <c r="I27" s="11">
        <v>5.0</v>
      </c>
      <c r="J27" s="10">
        <v>3.0</v>
      </c>
      <c r="K27" s="11">
        <v>4.0</v>
      </c>
      <c r="L27" s="10">
        <v>5.0</v>
      </c>
      <c r="M27" s="11">
        <v>4.0</v>
      </c>
      <c r="N27" s="10">
        <v>4.0</v>
      </c>
      <c r="O27" s="11">
        <v>4.0</v>
      </c>
      <c r="P27" s="10">
        <v>3.0</v>
      </c>
      <c r="Q27" s="11">
        <v>5.0</v>
      </c>
      <c r="R27" s="10">
        <v>5.0</v>
      </c>
      <c r="S27" s="11">
        <v>4.0</v>
      </c>
      <c r="T27" s="11">
        <v>5.0</v>
      </c>
      <c r="U27" s="5">
        <f t="shared" si="1"/>
        <v>64</v>
      </c>
      <c r="V27" s="14">
        <f t="shared" si="2"/>
        <v>4.266666667</v>
      </c>
      <c r="W27" s="14">
        <f t="shared" si="3"/>
        <v>0.7037315505</v>
      </c>
      <c r="X27" s="5">
        <f t="shared" si="4"/>
        <v>4</v>
      </c>
      <c r="Y27" s="5">
        <f t="shared" si="5"/>
        <v>3</v>
      </c>
      <c r="Z27" s="5">
        <f t="shared" si="6"/>
        <v>5</v>
      </c>
    </row>
    <row r="28" ht="12.75" customHeight="1">
      <c r="A28" s="5" t="s">
        <v>58</v>
      </c>
      <c r="B28" s="6" t="s">
        <v>79</v>
      </c>
      <c r="C28" s="6" t="s">
        <v>64</v>
      </c>
      <c r="D28" s="6" t="s">
        <v>80</v>
      </c>
      <c r="E28" s="7" t="s">
        <v>7</v>
      </c>
      <c r="F28" s="10">
        <v>4.0</v>
      </c>
      <c r="G28" s="11">
        <v>5.0</v>
      </c>
      <c r="H28" s="10">
        <v>3.0</v>
      </c>
      <c r="I28" s="11">
        <v>3.0</v>
      </c>
      <c r="J28" s="10">
        <v>3.0</v>
      </c>
      <c r="K28" s="11">
        <v>4.0</v>
      </c>
      <c r="L28" s="10">
        <v>5.0</v>
      </c>
      <c r="M28" s="11">
        <v>3.0</v>
      </c>
      <c r="N28" s="10">
        <v>2.0</v>
      </c>
      <c r="O28" s="11">
        <v>3.0</v>
      </c>
      <c r="P28" s="10">
        <v>3.0</v>
      </c>
      <c r="Q28" s="11">
        <v>4.0</v>
      </c>
      <c r="R28" s="10">
        <v>4.0</v>
      </c>
      <c r="S28" s="11">
        <v>2.0</v>
      </c>
      <c r="T28" s="11">
        <v>5.0</v>
      </c>
      <c r="U28" s="5">
        <f t="shared" si="1"/>
        <v>53</v>
      </c>
      <c r="V28" s="14">
        <f t="shared" si="2"/>
        <v>3.533333333</v>
      </c>
      <c r="W28" s="14">
        <f t="shared" si="3"/>
        <v>0.9904304019</v>
      </c>
      <c r="X28" s="5">
        <f t="shared" si="4"/>
        <v>3</v>
      </c>
      <c r="Y28" s="5">
        <f t="shared" si="5"/>
        <v>2</v>
      </c>
      <c r="Z28" s="5">
        <f t="shared" si="6"/>
        <v>5</v>
      </c>
    </row>
    <row r="29" ht="12.75" customHeight="1">
      <c r="A29" s="5" t="s">
        <v>58</v>
      </c>
      <c r="B29" s="6" t="s">
        <v>79</v>
      </c>
      <c r="C29" s="6" t="s">
        <v>65</v>
      </c>
      <c r="D29" s="6" t="s">
        <v>80</v>
      </c>
      <c r="E29" s="7" t="s">
        <v>8</v>
      </c>
      <c r="F29" s="10">
        <v>5.0</v>
      </c>
      <c r="G29" s="11">
        <v>5.0</v>
      </c>
      <c r="H29" s="10">
        <v>3.0</v>
      </c>
      <c r="I29" s="11">
        <v>4.0</v>
      </c>
      <c r="J29" s="10">
        <v>3.0</v>
      </c>
      <c r="K29" s="11">
        <v>4.0</v>
      </c>
      <c r="L29" s="10">
        <v>4.0</v>
      </c>
      <c r="M29" s="11">
        <v>3.0</v>
      </c>
      <c r="N29" s="10">
        <v>2.0</v>
      </c>
      <c r="O29" s="11">
        <v>4.0</v>
      </c>
      <c r="P29" s="10">
        <v>3.0</v>
      </c>
      <c r="Q29" s="11">
        <v>5.0</v>
      </c>
      <c r="R29" s="10">
        <v>4.0</v>
      </c>
      <c r="S29" s="11">
        <v>3.0</v>
      </c>
      <c r="T29" s="11">
        <v>5.0</v>
      </c>
      <c r="U29" s="5">
        <f t="shared" si="1"/>
        <v>57</v>
      </c>
      <c r="V29" s="14">
        <f t="shared" si="2"/>
        <v>3.8</v>
      </c>
      <c r="W29" s="14">
        <f t="shared" si="3"/>
        <v>0.9411239481</v>
      </c>
      <c r="X29" s="5">
        <f t="shared" si="4"/>
        <v>4</v>
      </c>
      <c r="Y29" s="5">
        <f t="shared" si="5"/>
        <v>2</v>
      </c>
      <c r="Z29" s="5">
        <f t="shared" si="6"/>
        <v>5</v>
      </c>
    </row>
    <row r="30" ht="12.75" customHeight="1">
      <c r="A30" s="6" t="s">
        <v>66</v>
      </c>
      <c r="B30" s="6" t="s">
        <v>79</v>
      </c>
      <c r="C30" s="6" t="s">
        <v>67</v>
      </c>
      <c r="D30" s="6" t="s">
        <v>80</v>
      </c>
      <c r="E30" s="7" t="s">
        <v>68</v>
      </c>
      <c r="F30" s="10">
        <v>5.0</v>
      </c>
      <c r="G30" s="11">
        <v>5.0</v>
      </c>
      <c r="H30" s="10">
        <v>4.0</v>
      </c>
      <c r="I30" s="11">
        <v>5.0</v>
      </c>
      <c r="J30" s="10">
        <v>4.0</v>
      </c>
      <c r="K30" s="11">
        <v>4.0</v>
      </c>
      <c r="L30" s="10">
        <v>5.0</v>
      </c>
      <c r="M30" s="11">
        <v>4.0</v>
      </c>
      <c r="N30" s="10">
        <v>4.0</v>
      </c>
      <c r="O30" s="11">
        <v>4.0</v>
      </c>
      <c r="P30" s="10">
        <v>3.0</v>
      </c>
      <c r="Q30" s="11">
        <v>5.0</v>
      </c>
      <c r="R30" s="10">
        <v>5.0</v>
      </c>
      <c r="S30" s="11">
        <v>3.0</v>
      </c>
      <c r="T30" s="11">
        <v>5.0</v>
      </c>
      <c r="U30" s="5">
        <f t="shared" si="1"/>
        <v>65</v>
      </c>
      <c r="V30" s="14">
        <f t="shared" si="2"/>
        <v>4.333333333</v>
      </c>
      <c r="W30" s="14">
        <f t="shared" si="3"/>
        <v>0.7237468645</v>
      </c>
      <c r="X30" s="5">
        <f t="shared" si="4"/>
        <v>4</v>
      </c>
      <c r="Y30" s="5">
        <f t="shared" si="5"/>
        <v>3</v>
      </c>
      <c r="Z30" s="5">
        <f t="shared" si="6"/>
        <v>5</v>
      </c>
    </row>
    <row r="31" ht="12.75" customHeight="1">
      <c r="A31" s="6" t="s">
        <v>66</v>
      </c>
      <c r="B31" s="6" t="s">
        <v>79</v>
      </c>
      <c r="C31" s="6" t="s">
        <v>69</v>
      </c>
      <c r="D31" s="6" t="s">
        <v>80</v>
      </c>
      <c r="E31" s="7" t="s">
        <v>70</v>
      </c>
      <c r="F31" s="10">
        <v>5.0</v>
      </c>
      <c r="G31" s="11">
        <v>5.0</v>
      </c>
      <c r="H31" s="10">
        <v>4.0</v>
      </c>
      <c r="I31" s="11">
        <v>3.0</v>
      </c>
      <c r="J31" s="10">
        <v>4.0</v>
      </c>
      <c r="K31" s="11">
        <v>4.0</v>
      </c>
      <c r="L31" s="10">
        <v>5.0</v>
      </c>
      <c r="M31" s="11">
        <v>4.0</v>
      </c>
      <c r="N31" s="10">
        <v>3.0</v>
      </c>
      <c r="O31" s="11">
        <v>4.0</v>
      </c>
      <c r="P31" s="10">
        <v>4.0</v>
      </c>
      <c r="Q31" s="11">
        <v>5.0</v>
      </c>
      <c r="R31" s="10">
        <v>5.0</v>
      </c>
      <c r="S31" s="11">
        <v>3.0</v>
      </c>
      <c r="T31" s="11">
        <v>5.0</v>
      </c>
      <c r="U31" s="5">
        <f t="shared" si="1"/>
        <v>63</v>
      </c>
      <c r="V31" s="14">
        <f t="shared" si="2"/>
        <v>4.2</v>
      </c>
      <c r="W31" s="14">
        <f t="shared" si="3"/>
        <v>0.7745966692</v>
      </c>
      <c r="X31" s="5">
        <f t="shared" si="4"/>
        <v>4</v>
      </c>
      <c r="Y31" s="5">
        <f t="shared" si="5"/>
        <v>3</v>
      </c>
      <c r="Z31" s="5">
        <f t="shared" si="6"/>
        <v>5</v>
      </c>
    </row>
    <row r="32" ht="12.75" customHeight="1">
      <c r="A32" s="6" t="s">
        <v>66</v>
      </c>
      <c r="B32" s="6" t="s">
        <v>79</v>
      </c>
      <c r="C32" s="6" t="s">
        <v>71</v>
      </c>
      <c r="D32" s="6" t="s">
        <v>80</v>
      </c>
      <c r="E32" s="7" t="s">
        <v>72</v>
      </c>
      <c r="F32" s="10">
        <v>5.0</v>
      </c>
      <c r="G32" s="11">
        <v>5.0</v>
      </c>
      <c r="H32" s="10">
        <v>4.0</v>
      </c>
      <c r="I32" s="11">
        <v>3.0</v>
      </c>
      <c r="J32" s="10">
        <v>4.0</v>
      </c>
      <c r="K32" s="11">
        <v>3.0</v>
      </c>
      <c r="L32" s="10">
        <v>5.0</v>
      </c>
      <c r="M32" s="11">
        <v>4.0</v>
      </c>
      <c r="N32" s="10">
        <v>4.0</v>
      </c>
      <c r="O32" s="11">
        <v>4.0</v>
      </c>
      <c r="P32" s="10">
        <v>2.0</v>
      </c>
      <c r="Q32" s="11">
        <v>5.0</v>
      </c>
      <c r="R32" s="10">
        <v>5.0</v>
      </c>
      <c r="S32" s="11">
        <v>2.0</v>
      </c>
      <c r="T32" s="11">
        <v>5.0</v>
      </c>
      <c r="U32" s="5">
        <f t="shared" si="1"/>
        <v>60</v>
      </c>
      <c r="V32" s="14">
        <f t="shared" si="2"/>
        <v>4</v>
      </c>
      <c r="W32" s="14">
        <f t="shared" si="3"/>
        <v>1.069044968</v>
      </c>
      <c r="X32" s="5">
        <f t="shared" si="4"/>
        <v>4</v>
      </c>
      <c r="Y32" s="5">
        <f t="shared" si="5"/>
        <v>2</v>
      </c>
      <c r="Z32" s="5">
        <f t="shared" si="6"/>
        <v>5</v>
      </c>
    </row>
    <row r="33" ht="12.75" customHeight="1">
      <c r="A33" s="6" t="s">
        <v>66</v>
      </c>
      <c r="B33" s="6" t="s">
        <v>79</v>
      </c>
      <c r="C33" s="6" t="s">
        <v>73</v>
      </c>
      <c r="D33" s="6" t="s">
        <v>80</v>
      </c>
      <c r="E33" s="7" t="s">
        <v>74</v>
      </c>
      <c r="F33" s="10">
        <v>5.0</v>
      </c>
      <c r="G33" s="11">
        <v>5.0</v>
      </c>
      <c r="H33" s="10">
        <v>5.0</v>
      </c>
      <c r="I33" s="11">
        <v>4.0</v>
      </c>
      <c r="J33" s="10">
        <v>3.0</v>
      </c>
      <c r="K33" s="11">
        <v>4.0</v>
      </c>
      <c r="L33" s="10">
        <v>4.0</v>
      </c>
      <c r="M33" s="11">
        <v>3.0</v>
      </c>
      <c r="N33" s="10">
        <v>4.0</v>
      </c>
      <c r="O33" s="11">
        <v>3.0</v>
      </c>
      <c r="P33" s="10">
        <v>3.0</v>
      </c>
      <c r="Q33" s="11">
        <v>3.0</v>
      </c>
      <c r="R33" s="10">
        <v>4.0</v>
      </c>
      <c r="S33" s="11">
        <v>4.0</v>
      </c>
      <c r="T33" s="11">
        <v>5.0</v>
      </c>
      <c r="U33" s="5">
        <f t="shared" si="1"/>
        <v>59</v>
      </c>
      <c r="V33" s="14">
        <f t="shared" si="2"/>
        <v>3.933333333</v>
      </c>
      <c r="W33" s="14">
        <f t="shared" si="3"/>
        <v>0.7988086367</v>
      </c>
      <c r="X33" s="5">
        <f t="shared" si="4"/>
        <v>4</v>
      </c>
      <c r="Y33" s="5">
        <f t="shared" si="5"/>
        <v>3</v>
      </c>
      <c r="Z33" s="5">
        <f t="shared" si="6"/>
        <v>5</v>
      </c>
    </row>
    <row r="34" ht="12.75" customHeight="1">
      <c r="A34" s="6" t="s">
        <v>66</v>
      </c>
      <c r="B34" s="6" t="s">
        <v>79</v>
      </c>
      <c r="C34" s="6" t="s">
        <v>75</v>
      </c>
      <c r="D34" s="6" t="s">
        <v>80</v>
      </c>
      <c r="E34" s="7" t="s">
        <v>76</v>
      </c>
      <c r="F34" s="10">
        <v>5.0</v>
      </c>
      <c r="G34" s="11">
        <v>5.0</v>
      </c>
      <c r="H34" s="10">
        <v>5.0</v>
      </c>
      <c r="I34" s="11">
        <v>5.0</v>
      </c>
      <c r="J34" s="10">
        <v>3.0</v>
      </c>
      <c r="K34" s="11">
        <v>4.0</v>
      </c>
      <c r="L34" s="10">
        <v>4.0</v>
      </c>
      <c r="M34" s="11">
        <v>3.0</v>
      </c>
      <c r="N34" s="10">
        <v>2.0</v>
      </c>
      <c r="O34" s="11">
        <v>4.0</v>
      </c>
      <c r="P34" s="10">
        <v>3.0</v>
      </c>
      <c r="Q34" s="11">
        <v>4.0</v>
      </c>
      <c r="R34" s="10">
        <v>4.0</v>
      </c>
      <c r="S34" s="11">
        <v>2.0</v>
      </c>
      <c r="T34" s="11">
        <v>5.0</v>
      </c>
      <c r="U34" s="5">
        <f t="shared" si="1"/>
        <v>58</v>
      </c>
      <c r="V34" s="14">
        <f t="shared" si="2"/>
        <v>3.866666667</v>
      </c>
      <c r="W34" s="14">
        <f t="shared" si="3"/>
        <v>1.060098827</v>
      </c>
      <c r="X34" s="5">
        <f t="shared" si="4"/>
        <v>4</v>
      </c>
      <c r="Y34" s="5">
        <f t="shared" si="5"/>
        <v>2</v>
      </c>
      <c r="Z34" s="5">
        <f t="shared" si="6"/>
        <v>5</v>
      </c>
    </row>
    <row r="35" ht="12.75" customHeight="1">
      <c r="A35" s="5" t="s">
        <v>58</v>
      </c>
      <c r="B35" s="6" t="s">
        <v>81</v>
      </c>
      <c r="C35" s="6" t="s">
        <v>60</v>
      </c>
      <c r="D35" s="6" t="s">
        <v>82</v>
      </c>
      <c r="E35" s="7" t="s">
        <v>4</v>
      </c>
      <c r="F35" s="10">
        <v>5.0</v>
      </c>
      <c r="G35" s="11">
        <v>5.0</v>
      </c>
      <c r="H35" s="10">
        <v>5.0</v>
      </c>
      <c r="I35" s="11">
        <v>4.0</v>
      </c>
      <c r="J35" s="10">
        <v>3.0</v>
      </c>
      <c r="K35" s="11">
        <v>4.0</v>
      </c>
      <c r="L35" s="10">
        <v>5.0</v>
      </c>
      <c r="M35" s="11">
        <v>4.0</v>
      </c>
      <c r="N35" s="10">
        <v>5.0</v>
      </c>
      <c r="O35" s="11">
        <v>4.0</v>
      </c>
      <c r="P35" s="10">
        <v>4.0</v>
      </c>
      <c r="Q35" s="11">
        <v>4.0</v>
      </c>
      <c r="R35" s="10">
        <v>4.0</v>
      </c>
      <c r="S35" s="11">
        <v>4.0</v>
      </c>
      <c r="T35" s="11">
        <v>5.0</v>
      </c>
      <c r="U35" s="5">
        <f t="shared" si="1"/>
        <v>65</v>
      </c>
      <c r="V35" s="14">
        <f t="shared" si="2"/>
        <v>4.333333333</v>
      </c>
      <c r="W35" s="14">
        <f t="shared" si="3"/>
        <v>0.6172133998</v>
      </c>
      <c r="X35" s="5">
        <f t="shared" si="4"/>
        <v>4</v>
      </c>
      <c r="Y35" s="5">
        <f t="shared" si="5"/>
        <v>3</v>
      </c>
      <c r="Z35" s="5">
        <f t="shared" si="6"/>
        <v>5</v>
      </c>
    </row>
    <row r="36" ht="12.75" customHeight="1">
      <c r="A36" s="5" t="s">
        <v>58</v>
      </c>
      <c r="B36" s="6" t="s">
        <v>81</v>
      </c>
      <c r="C36" s="6" t="s">
        <v>62</v>
      </c>
      <c r="D36" s="6" t="s">
        <v>82</v>
      </c>
      <c r="E36" s="7" t="s">
        <v>5</v>
      </c>
      <c r="F36" s="10">
        <v>5.0</v>
      </c>
      <c r="G36" s="11">
        <v>5.0</v>
      </c>
      <c r="H36" s="10">
        <v>4.0</v>
      </c>
      <c r="I36" s="11">
        <v>4.0</v>
      </c>
      <c r="J36" s="10">
        <v>3.0</v>
      </c>
      <c r="K36" s="11">
        <v>3.0</v>
      </c>
      <c r="L36" s="10">
        <v>5.0</v>
      </c>
      <c r="M36" s="11">
        <v>4.0</v>
      </c>
      <c r="N36" s="10">
        <v>5.0</v>
      </c>
      <c r="O36" s="11">
        <v>4.0</v>
      </c>
      <c r="P36" s="10">
        <v>3.0</v>
      </c>
      <c r="Q36" s="11">
        <v>5.0</v>
      </c>
      <c r="R36" s="10">
        <v>4.0</v>
      </c>
      <c r="S36" s="11">
        <v>5.0</v>
      </c>
      <c r="T36" s="11">
        <v>5.0</v>
      </c>
      <c r="U36" s="5">
        <f t="shared" si="1"/>
        <v>64</v>
      </c>
      <c r="V36" s="14">
        <f t="shared" si="2"/>
        <v>4.266666667</v>
      </c>
      <c r="W36" s="14">
        <f t="shared" si="3"/>
        <v>0.7988086367</v>
      </c>
      <c r="X36" s="5">
        <f t="shared" si="4"/>
        <v>4</v>
      </c>
      <c r="Y36" s="5">
        <f t="shared" si="5"/>
        <v>3</v>
      </c>
      <c r="Z36" s="5">
        <f t="shared" si="6"/>
        <v>5</v>
      </c>
    </row>
    <row r="37" ht="12.75" customHeight="1">
      <c r="A37" s="5" t="s">
        <v>58</v>
      </c>
      <c r="B37" s="6" t="s">
        <v>81</v>
      </c>
      <c r="C37" s="6" t="s">
        <v>63</v>
      </c>
      <c r="D37" s="6" t="s">
        <v>82</v>
      </c>
      <c r="E37" s="7" t="s">
        <v>6</v>
      </c>
      <c r="F37" s="10">
        <v>5.0</v>
      </c>
      <c r="G37" s="11">
        <v>5.0</v>
      </c>
      <c r="H37" s="10">
        <v>5.0</v>
      </c>
      <c r="I37" s="11">
        <v>4.0</v>
      </c>
      <c r="J37" s="10">
        <v>3.0</v>
      </c>
      <c r="K37" s="11">
        <v>4.0</v>
      </c>
      <c r="L37" s="10">
        <v>5.0</v>
      </c>
      <c r="M37" s="11">
        <v>3.0</v>
      </c>
      <c r="N37" s="10">
        <v>4.0</v>
      </c>
      <c r="O37" s="11">
        <v>3.0</v>
      </c>
      <c r="P37" s="10">
        <v>4.0</v>
      </c>
      <c r="Q37" s="11">
        <v>5.0</v>
      </c>
      <c r="R37" s="10">
        <v>5.0</v>
      </c>
      <c r="S37" s="11">
        <v>4.0</v>
      </c>
      <c r="T37" s="11">
        <v>5.0</v>
      </c>
      <c r="U37" s="5">
        <f t="shared" si="1"/>
        <v>64</v>
      </c>
      <c r="V37" s="14">
        <f t="shared" si="2"/>
        <v>4.266666667</v>
      </c>
      <c r="W37" s="14">
        <f t="shared" si="3"/>
        <v>0.7988086367</v>
      </c>
      <c r="X37" s="5">
        <f t="shared" si="4"/>
        <v>4</v>
      </c>
      <c r="Y37" s="5">
        <f t="shared" si="5"/>
        <v>3</v>
      </c>
      <c r="Z37" s="5">
        <f t="shared" si="6"/>
        <v>5</v>
      </c>
    </row>
    <row r="38" ht="12.75" customHeight="1">
      <c r="A38" s="5" t="s">
        <v>58</v>
      </c>
      <c r="B38" s="6" t="s">
        <v>81</v>
      </c>
      <c r="C38" s="6" t="s">
        <v>64</v>
      </c>
      <c r="D38" s="6" t="s">
        <v>82</v>
      </c>
      <c r="E38" s="7" t="s">
        <v>7</v>
      </c>
      <c r="F38" s="10">
        <v>4.0</v>
      </c>
      <c r="G38" s="11">
        <v>5.0</v>
      </c>
      <c r="H38" s="10">
        <v>4.0</v>
      </c>
      <c r="I38" s="11">
        <v>4.0</v>
      </c>
      <c r="J38" s="10">
        <v>3.0</v>
      </c>
      <c r="K38" s="11">
        <v>4.0</v>
      </c>
      <c r="L38" s="10">
        <v>5.0</v>
      </c>
      <c r="M38" s="11">
        <v>3.0</v>
      </c>
      <c r="N38" s="10">
        <v>4.0</v>
      </c>
      <c r="O38" s="11">
        <v>3.0</v>
      </c>
      <c r="P38" s="10">
        <v>4.0</v>
      </c>
      <c r="Q38" s="11">
        <v>5.0</v>
      </c>
      <c r="R38" s="10">
        <v>5.0</v>
      </c>
      <c r="S38" s="11">
        <v>5.0</v>
      </c>
      <c r="T38" s="11">
        <v>5.0</v>
      </c>
      <c r="U38" s="5">
        <f t="shared" si="1"/>
        <v>63</v>
      </c>
      <c r="V38" s="14">
        <f t="shared" si="2"/>
        <v>4.2</v>
      </c>
      <c r="W38" s="14">
        <f t="shared" si="3"/>
        <v>0.7745966692</v>
      </c>
      <c r="X38" s="5">
        <f t="shared" si="4"/>
        <v>4</v>
      </c>
      <c r="Y38" s="5">
        <f t="shared" si="5"/>
        <v>3</v>
      </c>
      <c r="Z38" s="5">
        <f t="shared" si="6"/>
        <v>5</v>
      </c>
    </row>
    <row r="39" ht="12.75" customHeight="1">
      <c r="A39" s="5" t="s">
        <v>58</v>
      </c>
      <c r="B39" s="6" t="s">
        <v>81</v>
      </c>
      <c r="C39" s="6" t="s">
        <v>65</v>
      </c>
      <c r="D39" s="6" t="s">
        <v>82</v>
      </c>
      <c r="E39" s="7" t="s">
        <v>8</v>
      </c>
      <c r="F39" s="10">
        <v>5.0</v>
      </c>
      <c r="G39" s="11">
        <v>5.0</v>
      </c>
      <c r="H39" s="10">
        <v>5.0</v>
      </c>
      <c r="I39" s="11">
        <v>4.0</v>
      </c>
      <c r="J39" s="10">
        <v>3.0</v>
      </c>
      <c r="K39" s="11">
        <v>4.0</v>
      </c>
      <c r="L39" s="10">
        <v>4.0</v>
      </c>
      <c r="M39" s="11">
        <v>3.0</v>
      </c>
      <c r="N39" s="10">
        <v>5.0</v>
      </c>
      <c r="O39" s="11">
        <v>4.0</v>
      </c>
      <c r="P39" s="10">
        <v>4.0</v>
      </c>
      <c r="Q39" s="11">
        <v>5.0</v>
      </c>
      <c r="R39" s="10">
        <v>4.0</v>
      </c>
      <c r="S39" s="11">
        <v>4.0</v>
      </c>
      <c r="T39" s="11">
        <v>5.0</v>
      </c>
      <c r="U39" s="5">
        <f t="shared" si="1"/>
        <v>64</v>
      </c>
      <c r="V39" s="14">
        <f t="shared" si="2"/>
        <v>4.266666667</v>
      </c>
      <c r="W39" s="14">
        <f t="shared" si="3"/>
        <v>0.7037315505</v>
      </c>
      <c r="X39" s="5">
        <f t="shared" si="4"/>
        <v>4</v>
      </c>
      <c r="Y39" s="5">
        <f t="shared" si="5"/>
        <v>3</v>
      </c>
      <c r="Z39" s="5">
        <f t="shared" si="6"/>
        <v>5</v>
      </c>
    </row>
    <row r="40" ht="12.75" customHeight="1">
      <c r="A40" s="6" t="s">
        <v>66</v>
      </c>
      <c r="B40" s="6" t="s">
        <v>81</v>
      </c>
      <c r="C40" s="6" t="s">
        <v>67</v>
      </c>
      <c r="D40" s="6" t="s">
        <v>82</v>
      </c>
      <c r="E40" s="7" t="s">
        <v>68</v>
      </c>
      <c r="F40" s="10">
        <v>5.0</v>
      </c>
      <c r="G40" s="11">
        <v>5.0</v>
      </c>
      <c r="H40" s="10">
        <v>5.0</v>
      </c>
      <c r="I40" s="11">
        <v>4.0</v>
      </c>
      <c r="J40" s="10">
        <v>3.0</v>
      </c>
      <c r="K40" s="11">
        <v>4.0</v>
      </c>
      <c r="L40" s="10">
        <v>5.0</v>
      </c>
      <c r="M40" s="11">
        <v>5.0</v>
      </c>
      <c r="N40" s="10">
        <v>5.0</v>
      </c>
      <c r="O40" s="11">
        <v>4.0</v>
      </c>
      <c r="P40" s="10">
        <v>4.0</v>
      </c>
      <c r="Q40" s="11">
        <v>5.0</v>
      </c>
      <c r="R40" s="10">
        <v>4.0</v>
      </c>
      <c r="S40" s="11">
        <v>4.0</v>
      </c>
      <c r="T40" s="11">
        <v>5.0</v>
      </c>
      <c r="U40" s="5">
        <f t="shared" si="1"/>
        <v>67</v>
      </c>
      <c r="V40" s="14">
        <f t="shared" si="2"/>
        <v>4.466666667</v>
      </c>
      <c r="W40" s="14">
        <f t="shared" si="3"/>
        <v>0.6399404734</v>
      </c>
      <c r="X40" s="5">
        <f t="shared" si="4"/>
        <v>5</v>
      </c>
      <c r="Y40" s="5">
        <f t="shared" si="5"/>
        <v>3</v>
      </c>
      <c r="Z40" s="5">
        <f t="shared" si="6"/>
        <v>5</v>
      </c>
    </row>
    <row r="41" ht="12.75" customHeight="1">
      <c r="A41" s="6" t="s">
        <v>66</v>
      </c>
      <c r="B41" s="6" t="s">
        <v>81</v>
      </c>
      <c r="C41" s="6" t="s">
        <v>69</v>
      </c>
      <c r="D41" s="6" t="s">
        <v>82</v>
      </c>
      <c r="E41" s="7" t="s">
        <v>70</v>
      </c>
      <c r="F41" s="10">
        <v>5.0</v>
      </c>
      <c r="G41" s="11">
        <v>5.0</v>
      </c>
      <c r="H41" s="10">
        <v>5.0</v>
      </c>
      <c r="I41" s="11">
        <v>4.0</v>
      </c>
      <c r="J41" s="10">
        <v>3.0</v>
      </c>
      <c r="K41" s="11">
        <v>4.0</v>
      </c>
      <c r="L41" s="10">
        <v>5.0</v>
      </c>
      <c r="M41" s="11">
        <v>5.0</v>
      </c>
      <c r="N41" s="10">
        <v>5.0</v>
      </c>
      <c r="O41" s="11">
        <v>1.0</v>
      </c>
      <c r="P41" s="10">
        <v>3.0</v>
      </c>
      <c r="Q41" s="11">
        <v>5.0</v>
      </c>
      <c r="R41" s="10">
        <v>3.0</v>
      </c>
      <c r="S41" s="11">
        <v>4.0</v>
      </c>
      <c r="T41" s="11">
        <v>5.0</v>
      </c>
      <c r="U41" s="5">
        <f t="shared" si="1"/>
        <v>62</v>
      </c>
      <c r="V41" s="14">
        <f t="shared" si="2"/>
        <v>4.133333333</v>
      </c>
      <c r="W41" s="14">
        <f t="shared" si="3"/>
        <v>1.187233679</v>
      </c>
      <c r="X41" s="5">
        <f t="shared" si="4"/>
        <v>5</v>
      </c>
      <c r="Y41" s="5">
        <f t="shared" si="5"/>
        <v>1</v>
      </c>
      <c r="Z41" s="5">
        <f t="shared" si="6"/>
        <v>5</v>
      </c>
    </row>
    <row r="42" ht="12.75" customHeight="1">
      <c r="A42" s="6" t="s">
        <v>66</v>
      </c>
      <c r="B42" s="6" t="s">
        <v>81</v>
      </c>
      <c r="C42" s="6" t="s">
        <v>71</v>
      </c>
      <c r="D42" s="6" t="s">
        <v>82</v>
      </c>
      <c r="E42" s="7" t="s">
        <v>72</v>
      </c>
      <c r="F42" s="10">
        <v>5.0</v>
      </c>
      <c r="G42" s="11">
        <v>5.0</v>
      </c>
      <c r="H42" s="10">
        <v>4.0</v>
      </c>
      <c r="I42" s="11">
        <v>4.0</v>
      </c>
      <c r="J42" s="10">
        <v>3.0</v>
      </c>
      <c r="K42" s="11">
        <v>4.0</v>
      </c>
      <c r="L42" s="10">
        <v>5.0</v>
      </c>
      <c r="M42" s="11">
        <v>5.0</v>
      </c>
      <c r="N42" s="10">
        <v>5.0</v>
      </c>
      <c r="O42" s="11">
        <v>4.0</v>
      </c>
      <c r="P42" s="10">
        <v>4.0</v>
      </c>
      <c r="Q42" s="11">
        <v>5.0</v>
      </c>
      <c r="R42" s="10">
        <v>5.0</v>
      </c>
      <c r="S42" s="11">
        <v>5.0</v>
      </c>
      <c r="T42" s="11">
        <v>5.0</v>
      </c>
      <c r="U42" s="5">
        <f t="shared" si="1"/>
        <v>68</v>
      </c>
      <c r="V42" s="14">
        <f t="shared" si="2"/>
        <v>4.533333333</v>
      </c>
      <c r="W42" s="14">
        <f t="shared" si="3"/>
        <v>0.6399404734</v>
      </c>
      <c r="X42" s="5">
        <f t="shared" si="4"/>
        <v>5</v>
      </c>
      <c r="Y42" s="5">
        <f t="shared" si="5"/>
        <v>3</v>
      </c>
      <c r="Z42" s="5">
        <f t="shared" si="6"/>
        <v>5</v>
      </c>
    </row>
    <row r="43" ht="12.75" customHeight="1">
      <c r="A43" s="6" t="s">
        <v>66</v>
      </c>
      <c r="B43" s="6" t="s">
        <v>81</v>
      </c>
      <c r="C43" s="6" t="s">
        <v>73</v>
      </c>
      <c r="D43" s="6" t="s">
        <v>82</v>
      </c>
      <c r="E43" s="7" t="s">
        <v>74</v>
      </c>
      <c r="F43" s="10">
        <v>5.0</v>
      </c>
      <c r="G43" s="11">
        <v>5.0</v>
      </c>
      <c r="H43" s="10">
        <v>4.0</v>
      </c>
      <c r="I43" s="11">
        <v>4.0</v>
      </c>
      <c r="J43" s="10">
        <v>3.0</v>
      </c>
      <c r="K43" s="11">
        <v>5.0</v>
      </c>
      <c r="L43" s="10">
        <v>4.0</v>
      </c>
      <c r="M43" s="11">
        <v>3.0</v>
      </c>
      <c r="N43" s="10">
        <v>5.0</v>
      </c>
      <c r="O43" s="11">
        <v>4.0</v>
      </c>
      <c r="P43" s="10">
        <v>4.0</v>
      </c>
      <c r="Q43" s="11">
        <v>4.0</v>
      </c>
      <c r="R43" s="10">
        <v>3.0</v>
      </c>
      <c r="S43" s="11">
        <v>4.0</v>
      </c>
      <c r="T43" s="11">
        <v>5.0</v>
      </c>
      <c r="U43" s="5">
        <f t="shared" si="1"/>
        <v>62</v>
      </c>
      <c r="V43" s="14">
        <f t="shared" si="2"/>
        <v>4.133333333</v>
      </c>
      <c r="W43" s="14">
        <f t="shared" si="3"/>
        <v>0.743223353</v>
      </c>
      <c r="X43" s="5">
        <f t="shared" si="4"/>
        <v>4</v>
      </c>
      <c r="Y43" s="5">
        <f t="shared" si="5"/>
        <v>3</v>
      </c>
      <c r="Z43" s="5">
        <f t="shared" si="6"/>
        <v>5</v>
      </c>
    </row>
    <row r="44" ht="12.75" customHeight="1">
      <c r="A44" s="6" t="s">
        <v>66</v>
      </c>
      <c r="B44" s="6" t="s">
        <v>81</v>
      </c>
      <c r="C44" s="6" t="s">
        <v>75</v>
      </c>
      <c r="D44" s="6" t="s">
        <v>82</v>
      </c>
      <c r="E44" s="7" t="s">
        <v>76</v>
      </c>
      <c r="F44" s="10">
        <v>4.0</v>
      </c>
      <c r="G44" s="11">
        <v>5.0</v>
      </c>
      <c r="H44" s="10">
        <v>5.0</v>
      </c>
      <c r="I44" s="11">
        <v>4.0</v>
      </c>
      <c r="J44" s="10">
        <v>3.0</v>
      </c>
      <c r="K44" s="11">
        <v>3.0</v>
      </c>
      <c r="L44" s="10">
        <v>4.0</v>
      </c>
      <c r="M44" s="11">
        <v>3.0</v>
      </c>
      <c r="N44" s="10">
        <v>5.0</v>
      </c>
      <c r="O44" s="11">
        <v>3.0</v>
      </c>
      <c r="P44" s="10">
        <v>3.0</v>
      </c>
      <c r="Q44" s="11">
        <v>5.0</v>
      </c>
      <c r="R44" s="10">
        <v>2.0</v>
      </c>
      <c r="S44" s="11">
        <v>4.0</v>
      </c>
      <c r="T44" s="11">
        <v>5.0</v>
      </c>
      <c r="U44" s="5">
        <f t="shared" si="1"/>
        <v>58</v>
      </c>
      <c r="V44" s="14">
        <f t="shared" si="2"/>
        <v>3.866666667</v>
      </c>
      <c r="W44" s="14">
        <f t="shared" si="3"/>
        <v>0.9904304019</v>
      </c>
      <c r="X44" s="5">
        <f t="shared" si="4"/>
        <v>4</v>
      </c>
      <c r="Y44" s="5">
        <f t="shared" si="5"/>
        <v>2</v>
      </c>
      <c r="Z44" s="5">
        <f t="shared" si="6"/>
        <v>5</v>
      </c>
    </row>
    <row r="45" ht="12.75" customHeight="1">
      <c r="A45" s="5" t="s">
        <v>58</v>
      </c>
      <c r="B45" s="6" t="s">
        <v>83</v>
      </c>
      <c r="C45" s="6" t="s">
        <v>60</v>
      </c>
      <c r="D45" s="6" t="s">
        <v>84</v>
      </c>
      <c r="E45" s="7" t="s">
        <v>4</v>
      </c>
      <c r="F45" s="10">
        <v>3.0</v>
      </c>
      <c r="G45" s="11">
        <v>5.0</v>
      </c>
      <c r="H45" s="10">
        <v>5.0</v>
      </c>
      <c r="I45" s="11">
        <v>5.0</v>
      </c>
      <c r="J45" s="10">
        <v>3.0</v>
      </c>
      <c r="K45" s="11">
        <v>4.0</v>
      </c>
      <c r="L45" s="10">
        <v>5.0</v>
      </c>
      <c r="M45" s="11">
        <v>5.0</v>
      </c>
      <c r="N45" s="10">
        <v>4.0</v>
      </c>
      <c r="O45" s="11">
        <v>4.0</v>
      </c>
      <c r="P45" s="10">
        <v>3.0</v>
      </c>
      <c r="Q45" s="11">
        <v>5.0</v>
      </c>
      <c r="R45" s="10">
        <v>5.0</v>
      </c>
      <c r="S45" s="11">
        <v>5.0</v>
      </c>
      <c r="T45" s="11">
        <v>5.0</v>
      </c>
      <c r="U45" s="5">
        <f t="shared" si="1"/>
        <v>66</v>
      </c>
      <c r="V45" s="14">
        <f t="shared" si="2"/>
        <v>4.4</v>
      </c>
      <c r="W45" s="14">
        <f t="shared" si="3"/>
        <v>0.8280786712</v>
      </c>
      <c r="X45" s="5">
        <f t="shared" si="4"/>
        <v>5</v>
      </c>
      <c r="Y45" s="5">
        <f t="shared" si="5"/>
        <v>3</v>
      </c>
      <c r="Z45" s="5">
        <f t="shared" si="6"/>
        <v>5</v>
      </c>
    </row>
    <row r="46" ht="12.75" customHeight="1">
      <c r="A46" s="5" t="s">
        <v>58</v>
      </c>
      <c r="B46" s="6" t="s">
        <v>83</v>
      </c>
      <c r="C46" s="6" t="s">
        <v>62</v>
      </c>
      <c r="D46" s="6" t="s">
        <v>84</v>
      </c>
      <c r="E46" s="7" t="s">
        <v>5</v>
      </c>
      <c r="F46" s="10">
        <v>4.0</v>
      </c>
      <c r="G46" s="11">
        <v>5.0</v>
      </c>
      <c r="H46" s="10">
        <v>5.0</v>
      </c>
      <c r="I46" s="11">
        <v>5.0</v>
      </c>
      <c r="J46" s="10">
        <v>3.0</v>
      </c>
      <c r="K46" s="11">
        <v>4.0</v>
      </c>
      <c r="L46" s="10">
        <v>5.0</v>
      </c>
      <c r="M46" s="11">
        <v>5.0</v>
      </c>
      <c r="N46" s="10">
        <v>5.0</v>
      </c>
      <c r="O46" s="11">
        <v>4.0</v>
      </c>
      <c r="P46" s="10">
        <v>4.0</v>
      </c>
      <c r="Q46" s="11">
        <v>3.0</v>
      </c>
      <c r="R46" s="10">
        <v>5.0</v>
      </c>
      <c r="S46" s="11">
        <v>5.0</v>
      </c>
      <c r="T46" s="11">
        <v>5.0</v>
      </c>
      <c r="U46" s="5">
        <f t="shared" si="1"/>
        <v>67</v>
      </c>
      <c r="V46" s="14">
        <f t="shared" si="2"/>
        <v>4.466666667</v>
      </c>
      <c r="W46" s="14">
        <f t="shared" si="3"/>
        <v>0.743223353</v>
      </c>
      <c r="X46" s="5">
        <f t="shared" si="4"/>
        <v>5</v>
      </c>
      <c r="Y46" s="5">
        <f t="shared" si="5"/>
        <v>3</v>
      </c>
      <c r="Z46" s="5">
        <f t="shared" si="6"/>
        <v>5</v>
      </c>
    </row>
    <row r="47" ht="12.75" customHeight="1">
      <c r="A47" s="5" t="s">
        <v>58</v>
      </c>
      <c r="B47" s="6" t="s">
        <v>83</v>
      </c>
      <c r="C47" s="6" t="s">
        <v>63</v>
      </c>
      <c r="D47" s="6" t="s">
        <v>84</v>
      </c>
      <c r="E47" s="7" t="s">
        <v>6</v>
      </c>
      <c r="F47" s="10">
        <v>5.0</v>
      </c>
      <c r="G47" s="11">
        <v>5.0</v>
      </c>
      <c r="H47" s="10">
        <v>5.0</v>
      </c>
      <c r="I47" s="11">
        <v>5.0</v>
      </c>
      <c r="J47" s="10">
        <v>4.0</v>
      </c>
      <c r="K47" s="11">
        <v>4.0</v>
      </c>
      <c r="L47" s="10">
        <v>5.0</v>
      </c>
      <c r="M47" s="11">
        <v>5.0</v>
      </c>
      <c r="N47" s="10">
        <v>5.0</v>
      </c>
      <c r="O47" s="11">
        <v>4.0</v>
      </c>
      <c r="P47" s="10">
        <v>3.0</v>
      </c>
      <c r="Q47" s="11">
        <v>4.0</v>
      </c>
      <c r="R47" s="10">
        <v>5.0</v>
      </c>
      <c r="S47" s="11">
        <v>4.0</v>
      </c>
      <c r="T47" s="11">
        <v>5.0</v>
      </c>
      <c r="U47" s="5">
        <f t="shared" si="1"/>
        <v>68</v>
      </c>
      <c r="V47" s="14">
        <f t="shared" si="2"/>
        <v>4.533333333</v>
      </c>
      <c r="W47" s="14">
        <f t="shared" si="3"/>
        <v>0.6399404734</v>
      </c>
      <c r="X47" s="5">
        <f t="shared" si="4"/>
        <v>5</v>
      </c>
      <c r="Y47" s="5">
        <f t="shared" si="5"/>
        <v>3</v>
      </c>
      <c r="Z47" s="5">
        <f t="shared" si="6"/>
        <v>5</v>
      </c>
    </row>
    <row r="48" ht="12.75" customHeight="1">
      <c r="A48" s="5" t="s">
        <v>58</v>
      </c>
      <c r="B48" s="6" t="s">
        <v>83</v>
      </c>
      <c r="C48" s="6" t="s">
        <v>64</v>
      </c>
      <c r="D48" s="6" t="s">
        <v>84</v>
      </c>
      <c r="E48" s="7" t="s">
        <v>7</v>
      </c>
      <c r="F48" s="10">
        <v>3.0</v>
      </c>
      <c r="G48" s="11">
        <v>5.0</v>
      </c>
      <c r="H48" s="10">
        <v>5.0</v>
      </c>
      <c r="I48" s="11">
        <v>5.0</v>
      </c>
      <c r="J48" s="10">
        <v>3.0</v>
      </c>
      <c r="K48" s="11">
        <v>4.0</v>
      </c>
      <c r="L48" s="10">
        <v>5.0</v>
      </c>
      <c r="M48" s="11">
        <v>5.0</v>
      </c>
      <c r="N48" s="10">
        <v>5.0</v>
      </c>
      <c r="O48" s="11">
        <v>4.0</v>
      </c>
      <c r="P48" s="10">
        <v>3.0</v>
      </c>
      <c r="Q48" s="11">
        <v>3.0</v>
      </c>
      <c r="R48" s="10">
        <v>5.0</v>
      </c>
      <c r="S48" s="11">
        <v>5.0</v>
      </c>
      <c r="T48" s="11">
        <v>5.0</v>
      </c>
      <c r="U48" s="5">
        <f t="shared" si="1"/>
        <v>65</v>
      </c>
      <c r="V48" s="14">
        <f t="shared" si="2"/>
        <v>4.333333333</v>
      </c>
      <c r="W48" s="14">
        <f t="shared" si="3"/>
        <v>0.8997354108</v>
      </c>
      <c r="X48" s="5">
        <f t="shared" si="4"/>
        <v>5</v>
      </c>
      <c r="Y48" s="5">
        <f t="shared" si="5"/>
        <v>3</v>
      </c>
      <c r="Z48" s="5">
        <f t="shared" si="6"/>
        <v>5</v>
      </c>
    </row>
    <row r="49" ht="12.75" customHeight="1">
      <c r="A49" s="5" t="s">
        <v>58</v>
      </c>
      <c r="B49" s="6" t="s">
        <v>83</v>
      </c>
      <c r="C49" s="6" t="s">
        <v>65</v>
      </c>
      <c r="D49" s="6" t="s">
        <v>84</v>
      </c>
      <c r="E49" s="7" t="s">
        <v>8</v>
      </c>
      <c r="F49" s="10">
        <v>5.0</v>
      </c>
      <c r="G49" s="11">
        <v>5.0</v>
      </c>
      <c r="H49" s="10">
        <v>5.0</v>
      </c>
      <c r="I49" s="11">
        <v>5.0</v>
      </c>
      <c r="J49" s="10">
        <v>4.0</v>
      </c>
      <c r="K49" s="11">
        <v>4.0</v>
      </c>
      <c r="L49" s="10">
        <v>4.0</v>
      </c>
      <c r="M49" s="11">
        <v>3.0</v>
      </c>
      <c r="N49" s="10">
        <v>5.0</v>
      </c>
      <c r="O49" s="11">
        <v>5.0</v>
      </c>
      <c r="P49" s="10">
        <v>3.0</v>
      </c>
      <c r="Q49" s="11">
        <v>4.0</v>
      </c>
      <c r="R49" s="10">
        <v>4.0</v>
      </c>
      <c r="S49" s="11">
        <v>5.0</v>
      </c>
      <c r="T49" s="11">
        <v>5.0</v>
      </c>
      <c r="U49" s="5">
        <f t="shared" si="1"/>
        <v>66</v>
      </c>
      <c r="V49" s="14">
        <f t="shared" si="2"/>
        <v>4.4</v>
      </c>
      <c r="W49" s="14">
        <f t="shared" si="3"/>
        <v>0.7367883976</v>
      </c>
      <c r="X49" s="5">
        <f t="shared" si="4"/>
        <v>5</v>
      </c>
      <c r="Y49" s="5">
        <f t="shared" si="5"/>
        <v>3</v>
      </c>
      <c r="Z49" s="5">
        <f t="shared" si="6"/>
        <v>5</v>
      </c>
    </row>
    <row r="50" ht="12.75" customHeight="1">
      <c r="A50" s="6" t="s">
        <v>66</v>
      </c>
      <c r="B50" s="6" t="s">
        <v>83</v>
      </c>
      <c r="C50" s="6" t="s">
        <v>67</v>
      </c>
      <c r="D50" s="6" t="s">
        <v>84</v>
      </c>
      <c r="E50" s="7" t="s">
        <v>68</v>
      </c>
      <c r="F50" s="10">
        <v>4.0</v>
      </c>
      <c r="G50" s="11">
        <v>5.0</v>
      </c>
      <c r="H50" s="10">
        <v>5.0</v>
      </c>
      <c r="I50" s="11">
        <v>5.0</v>
      </c>
      <c r="J50" s="10">
        <v>3.0</v>
      </c>
      <c r="K50" s="11">
        <v>4.0</v>
      </c>
      <c r="L50" s="10">
        <v>5.0</v>
      </c>
      <c r="M50" s="11">
        <v>5.0</v>
      </c>
      <c r="N50" s="10">
        <v>5.0</v>
      </c>
      <c r="O50" s="11">
        <v>4.0</v>
      </c>
      <c r="P50" s="10">
        <v>4.0</v>
      </c>
      <c r="Q50" s="11">
        <v>4.0</v>
      </c>
      <c r="R50" s="10">
        <v>5.0</v>
      </c>
      <c r="S50" s="11">
        <v>4.0</v>
      </c>
      <c r="T50" s="11">
        <v>5.0</v>
      </c>
      <c r="U50" s="5">
        <f t="shared" si="1"/>
        <v>67</v>
      </c>
      <c r="V50" s="14">
        <f t="shared" si="2"/>
        <v>4.466666667</v>
      </c>
      <c r="W50" s="14">
        <f t="shared" si="3"/>
        <v>0.6399404734</v>
      </c>
      <c r="X50" s="5">
        <f t="shared" si="4"/>
        <v>5</v>
      </c>
      <c r="Y50" s="5">
        <f t="shared" si="5"/>
        <v>3</v>
      </c>
      <c r="Z50" s="5">
        <f t="shared" si="6"/>
        <v>5</v>
      </c>
    </row>
    <row r="51" ht="12.75" customHeight="1">
      <c r="A51" s="6" t="s">
        <v>66</v>
      </c>
      <c r="B51" s="6" t="s">
        <v>83</v>
      </c>
      <c r="C51" s="6" t="s">
        <v>69</v>
      </c>
      <c r="D51" s="6" t="s">
        <v>84</v>
      </c>
      <c r="E51" s="7" t="s">
        <v>70</v>
      </c>
      <c r="F51" s="10">
        <v>5.0</v>
      </c>
      <c r="G51" s="11">
        <v>5.0</v>
      </c>
      <c r="H51" s="10">
        <v>5.0</v>
      </c>
      <c r="I51" s="11">
        <v>5.0</v>
      </c>
      <c r="J51" s="10">
        <v>4.0</v>
      </c>
      <c r="K51" s="11">
        <v>5.0</v>
      </c>
      <c r="L51" s="10">
        <v>5.0</v>
      </c>
      <c r="M51" s="11">
        <v>5.0</v>
      </c>
      <c r="N51" s="10">
        <v>4.0</v>
      </c>
      <c r="O51" s="11">
        <v>4.0</v>
      </c>
      <c r="P51" s="10">
        <v>4.0</v>
      </c>
      <c r="Q51" s="11">
        <v>4.0</v>
      </c>
      <c r="R51" s="10">
        <v>4.0</v>
      </c>
      <c r="S51" s="11">
        <v>5.0</v>
      </c>
      <c r="T51" s="11">
        <v>5.0</v>
      </c>
      <c r="U51" s="5">
        <f t="shared" si="1"/>
        <v>69</v>
      </c>
      <c r="V51" s="14">
        <f t="shared" si="2"/>
        <v>4.6</v>
      </c>
      <c r="W51" s="14">
        <f t="shared" si="3"/>
        <v>0.5070925528</v>
      </c>
      <c r="X51" s="5">
        <f t="shared" si="4"/>
        <v>5</v>
      </c>
      <c r="Y51" s="5">
        <f t="shared" si="5"/>
        <v>4</v>
      </c>
      <c r="Z51" s="5">
        <f t="shared" si="6"/>
        <v>5</v>
      </c>
    </row>
    <row r="52" ht="12.75" customHeight="1">
      <c r="A52" s="6" t="s">
        <v>66</v>
      </c>
      <c r="B52" s="6" t="s">
        <v>83</v>
      </c>
      <c r="C52" s="6" t="s">
        <v>71</v>
      </c>
      <c r="D52" s="6" t="s">
        <v>84</v>
      </c>
      <c r="E52" s="7" t="s">
        <v>72</v>
      </c>
      <c r="F52" s="10">
        <v>4.0</v>
      </c>
      <c r="G52" s="11">
        <v>5.0</v>
      </c>
      <c r="H52" s="10">
        <v>5.0</v>
      </c>
      <c r="I52" s="11">
        <v>5.0</v>
      </c>
      <c r="J52" s="10">
        <v>3.0</v>
      </c>
      <c r="K52" s="11">
        <v>5.0</v>
      </c>
      <c r="L52" s="10">
        <v>5.0</v>
      </c>
      <c r="M52" s="11">
        <v>5.0</v>
      </c>
      <c r="N52" s="10">
        <v>5.0</v>
      </c>
      <c r="O52" s="11">
        <v>5.0</v>
      </c>
      <c r="P52" s="10">
        <v>4.0</v>
      </c>
      <c r="Q52" s="11">
        <v>3.0</v>
      </c>
      <c r="R52" s="10">
        <v>5.0</v>
      </c>
      <c r="S52" s="11">
        <v>5.0</v>
      </c>
      <c r="T52" s="11">
        <v>5.0</v>
      </c>
      <c r="U52" s="5">
        <f t="shared" si="1"/>
        <v>69</v>
      </c>
      <c r="V52" s="14">
        <f t="shared" si="2"/>
        <v>4.6</v>
      </c>
      <c r="W52" s="14">
        <f t="shared" si="3"/>
        <v>0.7367883976</v>
      </c>
      <c r="X52" s="5">
        <f t="shared" si="4"/>
        <v>5</v>
      </c>
      <c r="Y52" s="5">
        <f t="shared" si="5"/>
        <v>3</v>
      </c>
      <c r="Z52" s="5">
        <f t="shared" si="6"/>
        <v>5</v>
      </c>
    </row>
    <row r="53" ht="12.75" customHeight="1">
      <c r="A53" s="6" t="s">
        <v>66</v>
      </c>
      <c r="B53" s="6" t="s">
        <v>83</v>
      </c>
      <c r="C53" s="6" t="s">
        <v>73</v>
      </c>
      <c r="D53" s="6" t="s">
        <v>84</v>
      </c>
      <c r="E53" s="7" t="s">
        <v>74</v>
      </c>
      <c r="F53" s="10">
        <v>5.0</v>
      </c>
      <c r="G53" s="11">
        <v>5.0</v>
      </c>
      <c r="H53" s="10">
        <v>5.0</v>
      </c>
      <c r="I53" s="11">
        <v>5.0</v>
      </c>
      <c r="J53" s="10">
        <v>4.0</v>
      </c>
      <c r="K53" s="11">
        <v>4.0</v>
      </c>
      <c r="L53" s="10">
        <v>4.0</v>
      </c>
      <c r="M53" s="11">
        <v>3.0</v>
      </c>
      <c r="N53" s="10">
        <v>5.0</v>
      </c>
      <c r="O53" s="11">
        <v>4.0</v>
      </c>
      <c r="P53" s="10">
        <v>4.0</v>
      </c>
      <c r="Q53" s="11">
        <v>3.0</v>
      </c>
      <c r="R53" s="10">
        <v>4.0</v>
      </c>
      <c r="S53" s="11">
        <v>5.0</v>
      </c>
      <c r="T53" s="11">
        <v>5.0</v>
      </c>
      <c r="U53" s="5">
        <f t="shared" si="1"/>
        <v>65</v>
      </c>
      <c r="V53" s="14">
        <f t="shared" si="2"/>
        <v>4.333333333</v>
      </c>
      <c r="W53" s="14">
        <f t="shared" si="3"/>
        <v>0.7237468645</v>
      </c>
      <c r="X53" s="5">
        <f t="shared" si="4"/>
        <v>4</v>
      </c>
      <c r="Y53" s="5">
        <f t="shared" si="5"/>
        <v>3</v>
      </c>
      <c r="Z53" s="5">
        <f t="shared" si="6"/>
        <v>5</v>
      </c>
    </row>
    <row r="54" ht="12.75" customHeight="1">
      <c r="A54" s="6" t="s">
        <v>66</v>
      </c>
      <c r="B54" s="6" t="s">
        <v>83</v>
      </c>
      <c r="C54" s="6" t="s">
        <v>75</v>
      </c>
      <c r="D54" s="6" t="s">
        <v>84</v>
      </c>
      <c r="E54" s="7" t="s">
        <v>76</v>
      </c>
      <c r="F54" s="10">
        <v>4.0</v>
      </c>
      <c r="G54" s="11">
        <v>5.0</v>
      </c>
      <c r="H54" s="10">
        <v>5.0</v>
      </c>
      <c r="I54" s="11">
        <v>5.0</v>
      </c>
      <c r="J54" s="10">
        <v>4.0</v>
      </c>
      <c r="K54" s="11">
        <v>4.0</v>
      </c>
      <c r="L54" s="10">
        <v>4.0</v>
      </c>
      <c r="M54" s="11">
        <v>3.0</v>
      </c>
      <c r="N54" s="10">
        <v>5.0</v>
      </c>
      <c r="O54" s="11">
        <v>5.0</v>
      </c>
      <c r="P54" s="10">
        <v>4.0</v>
      </c>
      <c r="Q54" s="11">
        <v>3.0</v>
      </c>
      <c r="R54" s="10">
        <v>3.0</v>
      </c>
      <c r="S54" s="11">
        <v>5.0</v>
      </c>
      <c r="T54" s="11">
        <v>5.0</v>
      </c>
      <c r="U54" s="5">
        <f t="shared" si="1"/>
        <v>64</v>
      </c>
      <c r="V54" s="14">
        <f t="shared" si="2"/>
        <v>4.266666667</v>
      </c>
      <c r="W54" s="14">
        <f t="shared" si="3"/>
        <v>0.7988086367</v>
      </c>
      <c r="X54" s="5">
        <f t="shared" si="4"/>
        <v>4</v>
      </c>
      <c r="Y54" s="5">
        <f t="shared" si="5"/>
        <v>3</v>
      </c>
      <c r="Z54" s="5">
        <f t="shared" si="6"/>
        <v>5</v>
      </c>
    </row>
    <row r="55" ht="12.75" customHeight="1">
      <c r="A55" s="5" t="s">
        <v>58</v>
      </c>
      <c r="B55" s="6" t="s">
        <v>85</v>
      </c>
      <c r="C55" s="6" t="s">
        <v>60</v>
      </c>
      <c r="D55" s="6" t="s">
        <v>86</v>
      </c>
      <c r="E55" s="7" t="s">
        <v>4</v>
      </c>
      <c r="F55" s="10">
        <v>5.0</v>
      </c>
      <c r="G55" s="11">
        <v>5.0</v>
      </c>
      <c r="H55" s="10">
        <v>5.0</v>
      </c>
      <c r="I55" s="11">
        <v>5.0</v>
      </c>
      <c r="J55" s="10">
        <v>3.0</v>
      </c>
      <c r="K55" s="11">
        <v>3.0</v>
      </c>
      <c r="L55" s="10">
        <v>5.0</v>
      </c>
      <c r="M55" s="11">
        <v>5.0</v>
      </c>
      <c r="N55" s="10">
        <v>5.0</v>
      </c>
      <c r="O55" s="11">
        <v>5.0</v>
      </c>
      <c r="P55" s="10">
        <v>4.0</v>
      </c>
      <c r="Q55" s="11">
        <v>4.0</v>
      </c>
      <c r="R55" s="10">
        <v>5.0</v>
      </c>
      <c r="S55" s="11">
        <v>4.0</v>
      </c>
      <c r="T55" s="11">
        <v>5.0</v>
      </c>
      <c r="U55" s="5">
        <f t="shared" si="1"/>
        <v>68</v>
      </c>
      <c r="V55" s="14">
        <f t="shared" si="2"/>
        <v>4.533333333</v>
      </c>
      <c r="W55" s="14">
        <f t="shared" si="3"/>
        <v>0.743223353</v>
      </c>
      <c r="X55" s="5">
        <f t="shared" si="4"/>
        <v>5</v>
      </c>
      <c r="Y55" s="5">
        <f t="shared" si="5"/>
        <v>3</v>
      </c>
      <c r="Z55" s="5">
        <f t="shared" si="6"/>
        <v>5</v>
      </c>
    </row>
    <row r="56" ht="12.75" customHeight="1">
      <c r="A56" s="5" t="s">
        <v>58</v>
      </c>
      <c r="B56" s="6" t="s">
        <v>85</v>
      </c>
      <c r="C56" s="6" t="s">
        <v>62</v>
      </c>
      <c r="D56" s="6" t="s">
        <v>86</v>
      </c>
      <c r="E56" s="7" t="s">
        <v>5</v>
      </c>
      <c r="F56" s="10">
        <v>3.0</v>
      </c>
      <c r="G56" s="11">
        <v>5.0</v>
      </c>
      <c r="H56" s="10">
        <v>5.0</v>
      </c>
      <c r="I56" s="11">
        <v>5.0</v>
      </c>
      <c r="J56" s="10">
        <v>3.0</v>
      </c>
      <c r="K56" s="11">
        <v>4.0</v>
      </c>
      <c r="L56" s="10">
        <v>5.0</v>
      </c>
      <c r="M56" s="11">
        <v>5.0</v>
      </c>
      <c r="N56" s="10">
        <v>5.0</v>
      </c>
      <c r="O56" s="11">
        <v>5.0</v>
      </c>
      <c r="P56" s="10">
        <v>4.0</v>
      </c>
      <c r="Q56" s="11">
        <v>5.0</v>
      </c>
      <c r="R56" s="10">
        <v>5.0</v>
      </c>
      <c r="S56" s="11">
        <v>4.0</v>
      </c>
      <c r="T56" s="11">
        <v>5.0</v>
      </c>
      <c r="U56" s="5">
        <f t="shared" si="1"/>
        <v>68</v>
      </c>
      <c r="V56" s="14">
        <f t="shared" si="2"/>
        <v>4.533333333</v>
      </c>
      <c r="W56" s="14">
        <f t="shared" si="3"/>
        <v>0.743223353</v>
      </c>
      <c r="X56" s="5">
        <f t="shared" si="4"/>
        <v>5</v>
      </c>
      <c r="Y56" s="5">
        <f t="shared" si="5"/>
        <v>3</v>
      </c>
      <c r="Z56" s="5">
        <f t="shared" si="6"/>
        <v>5</v>
      </c>
    </row>
    <row r="57" ht="12.75" customHeight="1">
      <c r="A57" s="5" t="s">
        <v>58</v>
      </c>
      <c r="B57" s="6" t="s">
        <v>85</v>
      </c>
      <c r="C57" s="6" t="s">
        <v>63</v>
      </c>
      <c r="D57" s="6" t="s">
        <v>86</v>
      </c>
      <c r="E57" s="7" t="s">
        <v>6</v>
      </c>
      <c r="F57" s="10">
        <v>5.0</v>
      </c>
      <c r="G57" s="11">
        <v>5.0</v>
      </c>
      <c r="H57" s="10">
        <v>5.0</v>
      </c>
      <c r="I57" s="11">
        <v>5.0</v>
      </c>
      <c r="J57" s="10">
        <v>3.0</v>
      </c>
      <c r="K57" s="11">
        <v>3.0</v>
      </c>
      <c r="L57" s="10">
        <v>5.0</v>
      </c>
      <c r="M57" s="11">
        <v>4.0</v>
      </c>
      <c r="N57" s="10">
        <v>5.0</v>
      </c>
      <c r="O57" s="11">
        <v>4.0</v>
      </c>
      <c r="P57" s="10">
        <v>4.0</v>
      </c>
      <c r="Q57" s="11">
        <v>5.0</v>
      </c>
      <c r="R57" s="10">
        <v>5.0</v>
      </c>
      <c r="S57" s="11">
        <v>5.0</v>
      </c>
      <c r="T57" s="11">
        <v>5.0</v>
      </c>
      <c r="U57" s="5">
        <f t="shared" si="1"/>
        <v>68</v>
      </c>
      <c r="V57" s="14">
        <f t="shared" si="2"/>
        <v>4.533333333</v>
      </c>
      <c r="W57" s="14">
        <f t="shared" si="3"/>
        <v>0.743223353</v>
      </c>
      <c r="X57" s="5">
        <f t="shared" si="4"/>
        <v>5</v>
      </c>
      <c r="Y57" s="5">
        <f t="shared" si="5"/>
        <v>3</v>
      </c>
      <c r="Z57" s="5">
        <f t="shared" si="6"/>
        <v>5</v>
      </c>
    </row>
    <row r="58" ht="12.75" customHeight="1">
      <c r="A58" s="5" t="s">
        <v>58</v>
      </c>
      <c r="B58" s="6" t="s">
        <v>85</v>
      </c>
      <c r="C58" s="6" t="s">
        <v>64</v>
      </c>
      <c r="D58" s="6" t="s">
        <v>86</v>
      </c>
      <c r="E58" s="7" t="s">
        <v>7</v>
      </c>
      <c r="F58" s="10">
        <v>4.0</v>
      </c>
      <c r="G58" s="11">
        <v>5.0</v>
      </c>
      <c r="H58" s="10">
        <v>5.0</v>
      </c>
      <c r="I58" s="11">
        <v>5.0</v>
      </c>
      <c r="J58" s="10">
        <v>4.0</v>
      </c>
      <c r="K58" s="11">
        <v>4.0</v>
      </c>
      <c r="L58" s="10">
        <v>5.0</v>
      </c>
      <c r="M58" s="11">
        <v>5.0</v>
      </c>
      <c r="N58" s="10">
        <v>5.0</v>
      </c>
      <c r="O58" s="11">
        <v>5.0</v>
      </c>
      <c r="P58" s="10">
        <v>4.0</v>
      </c>
      <c r="Q58" s="11">
        <v>4.0</v>
      </c>
      <c r="R58" s="10">
        <v>5.0</v>
      </c>
      <c r="S58" s="11">
        <v>5.0</v>
      </c>
      <c r="T58" s="11">
        <v>5.0</v>
      </c>
      <c r="U58" s="5">
        <f t="shared" si="1"/>
        <v>70</v>
      </c>
      <c r="V58" s="14">
        <f t="shared" si="2"/>
        <v>4.666666667</v>
      </c>
      <c r="W58" s="14">
        <f t="shared" si="3"/>
        <v>0.4879500365</v>
      </c>
      <c r="X58" s="5">
        <f t="shared" si="4"/>
        <v>5</v>
      </c>
      <c r="Y58" s="5">
        <f t="shared" si="5"/>
        <v>4</v>
      </c>
      <c r="Z58" s="5">
        <f t="shared" si="6"/>
        <v>5</v>
      </c>
    </row>
    <row r="59" ht="12.75" customHeight="1">
      <c r="A59" s="5" t="s">
        <v>58</v>
      </c>
      <c r="B59" s="6" t="s">
        <v>85</v>
      </c>
      <c r="C59" s="6" t="s">
        <v>65</v>
      </c>
      <c r="D59" s="6" t="s">
        <v>86</v>
      </c>
      <c r="E59" s="7" t="s">
        <v>8</v>
      </c>
      <c r="F59" s="10">
        <v>5.0</v>
      </c>
      <c r="G59" s="11">
        <v>5.0</v>
      </c>
      <c r="H59" s="10">
        <v>5.0</v>
      </c>
      <c r="I59" s="11">
        <v>2.0</v>
      </c>
      <c r="J59" s="10">
        <v>3.0</v>
      </c>
      <c r="K59" s="11">
        <v>4.0</v>
      </c>
      <c r="L59" s="10">
        <v>4.0</v>
      </c>
      <c r="M59" s="11">
        <v>3.0</v>
      </c>
      <c r="N59" s="10">
        <v>4.0</v>
      </c>
      <c r="O59" s="11">
        <v>5.0</v>
      </c>
      <c r="P59" s="10">
        <v>4.0</v>
      </c>
      <c r="Q59" s="11">
        <v>3.0</v>
      </c>
      <c r="R59" s="10">
        <v>5.0</v>
      </c>
      <c r="S59" s="11">
        <v>5.0</v>
      </c>
      <c r="T59" s="11">
        <v>5.0</v>
      </c>
      <c r="U59" s="5">
        <f t="shared" si="1"/>
        <v>62</v>
      </c>
      <c r="V59" s="14">
        <f t="shared" si="2"/>
        <v>4.133333333</v>
      </c>
      <c r="W59" s="14">
        <f t="shared" si="3"/>
        <v>0.9904304019</v>
      </c>
      <c r="X59" s="5">
        <f t="shared" si="4"/>
        <v>4</v>
      </c>
      <c r="Y59" s="5">
        <f t="shared" si="5"/>
        <v>2</v>
      </c>
      <c r="Z59" s="5">
        <f t="shared" si="6"/>
        <v>5</v>
      </c>
    </row>
    <row r="60" ht="12.75" customHeight="1">
      <c r="A60" s="6" t="s">
        <v>66</v>
      </c>
      <c r="B60" s="6" t="s">
        <v>85</v>
      </c>
      <c r="C60" s="6" t="s">
        <v>67</v>
      </c>
      <c r="D60" s="6" t="s">
        <v>86</v>
      </c>
      <c r="E60" s="7" t="s">
        <v>68</v>
      </c>
      <c r="F60" s="10">
        <v>5.0</v>
      </c>
      <c r="G60" s="11">
        <v>5.0</v>
      </c>
      <c r="H60" s="10">
        <v>5.0</v>
      </c>
      <c r="I60" s="11">
        <v>5.0</v>
      </c>
      <c r="J60" s="10">
        <v>4.0</v>
      </c>
      <c r="K60" s="11">
        <v>4.0</v>
      </c>
      <c r="L60" s="10">
        <v>5.0</v>
      </c>
      <c r="M60" s="11">
        <v>5.0</v>
      </c>
      <c r="N60" s="10">
        <v>5.0</v>
      </c>
      <c r="O60" s="11">
        <v>4.0</v>
      </c>
      <c r="P60" s="10">
        <v>4.0</v>
      </c>
      <c r="Q60" s="11">
        <v>5.0</v>
      </c>
      <c r="R60" s="10">
        <v>5.0</v>
      </c>
      <c r="S60" s="11">
        <v>4.0</v>
      </c>
      <c r="T60" s="11">
        <v>5.0</v>
      </c>
      <c r="U60" s="5">
        <f t="shared" si="1"/>
        <v>70</v>
      </c>
      <c r="V60" s="14">
        <f t="shared" si="2"/>
        <v>4.666666667</v>
      </c>
      <c r="W60" s="14">
        <f t="shared" si="3"/>
        <v>0.4879500365</v>
      </c>
      <c r="X60" s="5">
        <f t="shared" si="4"/>
        <v>5</v>
      </c>
      <c r="Y60" s="5">
        <f t="shared" si="5"/>
        <v>4</v>
      </c>
      <c r="Z60" s="5">
        <f t="shared" si="6"/>
        <v>5</v>
      </c>
    </row>
    <row r="61" ht="12.75" customHeight="1">
      <c r="A61" s="6" t="s">
        <v>66</v>
      </c>
      <c r="B61" s="6" t="s">
        <v>85</v>
      </c>
      <c r="C61" s="6" t="s">
        <v>69</v>
      </c>
      <c r="D61" s="6" t="s">
        <v>86</v>
      </c>
      <c r="E61" s="7" t="s">
        <v>70</v>
      </c>
      <c r="F61" s="10">
        <v>5.0</v>
      </c>
      <c r="G61" s="11">
        <v>5.0</v>
      </c>
      <c r="H61" s="10">
        <v>5.0</v>
      </c>
      <c r="I61" s="11">
        <v>5.0</v>
      </c>
      <c r="J61" s="10">
        <v>4.0</v>
      </c>
      <c r="K61" s="11">
        <v>4.0</v>
      </c>
      <c r="L61" s="10">
        <v>5.0</v>
      </c>
      <c r="M61" s="11">
        <v>5.0</v>
      </c>
      <c r="N61" s="10">
        <v>5.0</v>
      </c>
      <c r="O61" s="11">
        <v>1.0</v>
      </c>
      <c r="P61" s="10">
        <v>4.0</v>
      </c>
      <c r="Q61" s="11">
        <v>4.0</v>
      </c>
      <c r="R61" s="10">
        <v>4.0</v>
      </c>
      <c r="S61" s="11">
        <v>4.0</v>
      </c>
      <c r="T61" s="11">
        <v>5.0</v>
      </c>
      <c r="U61" s="5">
        <f t="shared" si="1"/>
        <v>65</v>
      </c>
      <c r="V61" s="14">
        <f t="shared" si="2"/>
        <v>4.333333333</v>
      </c>
      <c r="W61" s="14">
        <f t="shared" si="3"/>
        <v>1.046536237</v>
      </c>
      <c r="X61" s="5">
        <f t="shared" si="4"/>
        <v>5</v>
      </c>
      <c r="Y61" s="5">
        <f t="shared" si="5"/>
        <v>1</v>
      </c>
      <c r="Z61" s="5">
        <f t="shared" si="6"/>
        <v>5</v>
      </c>
    </row>
    <row r="62" ht="12.75" customHeight="1">
      <c r="A62" s="6" t="s">
        <v>66</v>
      </c>
      <c r="B62" s="6" t="s">
        <v>85</v>
      </c>
      <c r="C62" s="6" t="s">
        <v>71</v>
      </c>
      <c r="D62" s="6" t="s">
        <v>86</v>
      </c>
      <c r="E62" s="7" t="s">
        <v>72</v>
      </c>
      <c r="F62" s="10">
        <v>4.0</v>
      </c>
      <c r="G62" s="11">
        <v>5.0</v>
      </c>
      <c r="H62" s="10">
        <v>5.0</v>
      </c>
      <c r="I62" s="11">
        <v>5.0</v>
      </c>
      <c r="J62" s="10">
        <v>3.0</v>
      </c>
      <c r="K62" s="11">
        <v>4.0</v>
      </c>
      <c r="L62" s="10">
        <v>5.0</v>
      </c>
      <c r="M62" s="11">
        <v>5.0</v>
      </c>
      <c r="N62" s="10">
        <v>5.0</v>
      </c>
      <c r="O62" s="11">
        <v>5.0</v>
      </c>
      <c r="P62" s="10">
        <v>4.0</v>
      </c>
      <c r="Q62" s="11">
        <v>5.0</v>
      </c>
      <c r="R62" s="10">
        <v>5.0</v>
      </c>
      <c r="S62" s="11">
        <v>4.0</v>
      </c>
      <c r="T62" s="11">
        <v>5.0</v>
      </c>
      <c r="U62" s="5">
        <f t="shared" si="1"/>
        <v>69</v>
      </c>
      <c r="V62" s="14">
        <f t="shared" si="2"/>
        <v>4.6</v>
      </c>
      <c r="W62" s="14">
        <f t="shared" si="3"/>
        <v>0.632455532</v>
      </c>
      <c r="X62" s="5">
        <f t="shared" si="4"/>
        <v>5</v>
      </c>
      <c r="Y62" s="5">
        <f t="shared" si="5"/>
        <v>3</v>
      </c>
      <c r="Z62" s="5">
        <f t="shared" si="6"/>
        <v>5</v>
      </c>
    </row>
    <row r="63" ht="12.75" customHeight="1">
      <c r="A63" s="6" t="s">
        <v>66</v>
      </c>
      <c r="B63" s="6" t="s">
        <v>85</v>
      </c>
      <c r="C63" s="6" t="s">
        <v>73</v>
      </c>
      <c r="D63" s="6" t="s">
        <v>86</v>
      </c>
      <c r="E63" s="7" t="s">
        <v>74</v>
      </c>
      <c r="F63" s="10">
        <v>5.0</v>
      </c>
      <c r="G63" s="11">
        <v>5.0</v>
      </c>
      <c r="H63" s="10">
        <v>4.0</v>
      </c>
      <c r="I63" s="11">
        <v>1.0</v>
      </c>
      <c r="J63" s="10">
        <v>4.0</v>
      </c>
      <c r="K63" s="11">
        <v>3.0</v>
      </c>
      <c r="L63" s="10">
        <v>4.0</v>
      </c>
      <c r="M63" s="11">
        <v>3.0</v>
      </c>
      <c r="N63" s="10">
        <v>5.0</v>
      </c>
      <c r="O63" s="11">
        <v>4.0</v>
      </c>
      <c r="P63" s="10">
        <v>4.0</v>
      </c>
      <c r="Q63" s="11">
        <v>3.0</v>
      </c>
      <c r="R63" s="10">
        <v>4.0</v>
      </c>
      <c r="S63" s="11">
        <v>5.0</v>
      </c>
      <c r="T63" s="11">
        <v>5.0</v>
      </c>
      <c r="U63" s="5">
        <f t="shared" si="1"/>
        <v>59</v>
      </c>
      <c r="V63" s="14">
        <f t="shared" si="2"/>
        <v>3.933333333</v>
      </c>
      <c r="W63" s="14">
        <f t="shared" si="3"/>
        <v>1.099783528</v>
      </c>
      <c r="X63" s="5">
        <f t="shared" si="4"/>
        <v>4</v>
      </c>
      <c r="Y63" s="5">
        <f t="shared" si="5"/>
        <v>1</v>
      </c>
      <c r="Z63" s="5">
        <f t="shared" si="6"/>
        <v>5</v>
      </c>
    </row>
    <row r="64" ht="12.75" customHeight="1">
      <c r="A64" s="6" t="s">
        <v>66</v>
      </c>
      <c r="B64" s="6" t="s">
        <v>85</v>
      </c>
      <c r="C64" s="6" t="s">
        <v>75</v>
      </c>
      <c r="D64" s="6" t="s">
        <v>86</v>
      </c>
      <c r="E64" s="7" t="s">
        <v>76</v>
      </c>
      <c r="F64" s="10">
        <v>4.0</v>
      </c>
      <c r="G64" s="11">
        <v>5.0</v>
      </c>
      <c r="H64" s="10">
        <v>5.0</v>
      </c>
      <c r="I64" s="11">
        <v>5.0</v>
      </c>
      <c r="J64" s="10">
        <v>3.0</v>
      </c>
      <c r="K64" s="11">
        <v>3.0</v>
      </c>
      <c r="L64" s="10">
        <v>4.0</v>
      </c>
      <c r="M64" s="11">
        <v>3.0</v>
      </c>
      <c r="N64" s="10">
        <v>5.0</v>
      </c>
      <c r="O64" s="11">
        <v>3.0</v>
      </c>
      <c r="P64" s="10">
        <v>4.0</v>
      </c>
      <c r="Q64" s="11">
        <v>2.0</v>
      </c>
      <c r="R64" s="10">
        <v>4.0</v>
      </c>
      <c r="S64" s="11">
        <v>4.0</v>
      </c>
      <c r="T64" s="11">
        <v>5.0</v>
      </c>
      <c r="U64" s="5">
        <f t="shared" si="1"/>
        <v>59</v>
      </c>
      <c r="V64" s="14">
        <f t="shared" si="2"/>
        <v>3.933333333</v>
      </c>
      <c r="W64" s="14">
        <f t="shared" si="3"/>
        <v>0.9611501047</v>
      </c>
      <c r="X64" s="5">
        <f t="shared" si="4"/>
        <v>4</v>
      </c>
      <c r="Y64" s="5">
        <f t="shared" si="5"/>
        <v>2</v>
      </c>
      <c r="Z64" s="5">
        <f t="shared" si="6"/>
        <v>5</v>
      </c>
    </row>
    <row r="65" ht="12.75" customHeight="1">
      <c r="A65" s="5" t="s">
        <v>58</v>
      </c>
      <c r="B65" s="6" t="s">
        <v>87</v>
      </c>
      <c r="C65" s="6" t="s">
        <v>60</v>
      </c>
      <c r="D65" s="6" t="s">
        <v>88</v>
      </c>
      <c r="E65" s="7" t="s">
        <v>4</v>
      </c>
      <c r="F65" s="10">
        <v>5.0</v>
      </c>
      <c r="G65" s="11">
        <v>5.0</v>
      </c>
      <c r="H65" s="10">
        <v>5.0</v>
      </c>
      <c r="I65" s="11">
        <v>2.0</v>
      </c>
      <c r="J65" s="10">
        <v>4.0</v>
      </c>
      <c r="K65" s="11">
        <v>2.0</v>
      </c>
      <c r="L65" s="10">
        <v>5.0</v>
      </c>
      <c r="M65" s="11">
        <v>5.0</v>
      </c>
      <c r="N65" s="10">
        <v>5.0</v>
      </c>
      <c r="O65" s="11">
        <v>5.0</v>
      </c>
      <c r="P65" s="10">
        <v>4.0</v>
      </c>
      <c r="Q65" s="11">
        <v>4.0</v>
      </c>
      <c r="R65" s="10">
        <v>5.0</v>
      </c>
      <c r="S65" s="11">
        <v>4.0</v>
      </c>
      <c r="T65" s="11">
        <v>5.0</v>
      </c>
      <c r="U65" s="5">
        <f t="shared" si="1"/>
        <v>65</v>
      </c>
      <c r="V65" s="14">
        <f t="shared" si="2"/>
        <v>4.333333333</v>
      </c>
      <c r="W65" s="14">
        <f t="shared" si="3"/>
        <v>1.046536237</v>
      </c>
      <c r="X65" s="5">
        <f t="shared" si="4"/>
        <v>5</v>
      </c>
      <c r="Y65" s="5">
        <f t="shared" si="5"/>
        <v>2</v>
      </c>
      <c r="Z65" s="5">
        <f t="shared" si="6"/>
        <v>5</v>
      </c>
    </row>
    <row r="66" ht="12.75" customHeight="1">
      <c r="A66" s="5" t="s">
        <v>58</v>
      </c>
      <c r="B66" s="6" t="s">
        <v>87</v>
      </c>
      <c r="C66" s="6" t="s">
        <v>62</v>
      </c>
      <c r="D66" s="6" t="s">
        <v>88</v>
      </c>
      <c r="E66" s="7" t="s">
        <v>5</v>
      </c>
      <c r="F66" s="10">
        <v>4.0</v>
      </c>
      <c r="G66" s="11">
        <v>5.0</v>
      </c>
      <c r="H66" s="10">
        <v>4.0</v>
      </c>
      <c r="I66" s="11">
        <v>2.0</v>
      </c>
      <c r="J66" s="10">
        <v>4.0</v>
      </c>
      <c r="K66" s="11">
        <v>3.0</v>
      </c>
      <c r="L66" s="10">
        <v>5.0</v>
      </c>
      <c r="M66" s="11">
        <v>5.0</v>
      </c>
      <c r="N66" s="10">
        <v>5.0</v>
      </c>
      <c r="O66" s="11">
        <v>5.0</v>
      </c>
      <c r="P66" s="10">
        <v>4.0</v>
      </c>
      <c r="Q66" s="11">
        <v>4.0</v>
      </c>
      <c r="R66" s="10">
        <v>5.0</v>
      </c>
      <c r="S66" s="11">
        <v>3.0</v>
      </c>
      <c r="T66" s="11">
        <v>5.0</v>
      </c>
      <c r="U66" s="5">
        <f t="shared" si="1"/>
        <v>63</v>
      </c>
      <c r="V66" s="14">
        <f t="shared" si="2"/>
        <v>4.2</v>
      </c>
      <c r="W66" s="14">
        <f t="shared" si="3"/>
        <v>0.9411239481</v>
      </c>
      <c r="X66" s="5">
        <f t="shared" si="4"/>
        <v>4</v>
      </c>
      <c r="Y66" s="5">
        <f t="shared" si="5"/>
        <v>2</v>
      </c>
      <c r="Z66" s="5">
        <f t="shared" si="6"/>
        <v>5</v>
      </c>
    </row>
    <row r="67" ht="12.75" customHeight="1">
      <c r="A67" s="5" t="s">
        <v>58</v>
      </c>
      <c r="B67" s="6" t="s">
        <v>87</v>
      </c>
      <c r="C67" s="6" t="s">
        <v>63</v>
      </c>
      <c r="D67" s="6" t="s">
        <v>88</v>
      </c>
      <c r="E67" s="7" t="s">
        <v>6</v>
      </c>
      <c r="F67" s="10">
        <v>5.0</v>
      </c>
      <c r="G67" s="11">
        <v>5.0</v>
      </c>
      <c r="H67" s="10">
        <v>4.0</v>
      </c>
      <c r="I67" s="11">
        <v>5.0</v>
      </c>
      <c r="J67" s="10">
        <v>3.0</v>
      </c>
      <c r="K67" s="11">
        <v>4.0</v>
      </c>
      <c r="L67" s="10">
        <v>5.0</v>
      </c>
      <c r="M67" s="11">
        <v>5.0</v>
      </c>
      <c r="N67" s="10">
        <v>4.0</v>
      </c>
      <c r="O67" s="11">
        <v>4.0</v>
      </c>
      <c r="P67" s="10">
        <v>4.0</v>
      </c>
      <c r="Q67" s="11">
        <v>5.0</v>
      </c>
      <c r="R67" s="10">
        <v>5.0</v>
      </c>
      <c r="S67" s="11">
        <v>3.0</v>
      </c>
      <c r="T67" s="11">
        <v>5.0</v>
      </c>
      <c r="U67" s="5">
        <f t="shared" si="1"/>
        <v>66</v>
      </c>
      <c r="V67" s="14">
        <f t="shared" si="2"/>
        <v>4.4</v>
      </c>
      <c r="W67" s="14">
        <f t="shared" si="3"/>
        <v>0.7367883976</v>
      </c>
      <c r="X67" s="5">
        <f t="shared" si="4"/>
        <v>5</v>
      </c>
      <c r="Y67" s="5">
        <f t="shared" si="5"/>
        <v>3</v>
      </c>
      <c r="Z67" s="5">
        <f t="shared" si="6"/>
        <v>5</v>
      </c>
    </row>
    <row r="68" ht="12.75" customHeight="1">
      <c r="A68" s="5" t="s">
        <v>58</v>
      </c>
      <c r="B68" s="6" t="s">
        <v>87</v>
      </c>
      <c r="C68" s="6" t="s">
        <v>64</v>
      </c>
      <c r="D68" s="6" t="s">
        <v>88</v>
      </c>
      <c r="E68" s="7" t="s">
        <v>7</v>
      </c>
      <c r="F68" s="10">
        <v>4.0</v>
      </c>
      <c r="G68" s="11">
        <v>5.0</v>
      </c>
      <c r="H68" s="10">
        <v>5.0</v>
      </c>
      <c r="I68" s="11">
        <v>2.0</v>
      </c>
      <c r="J68" s="10">
        <v>4.0</v>
      </c>
      <c r="K68" s="11">
        <v>3.0</v>
      </c>
      <c r="L68" s="10">
        <v>5.0</v>
      </c>
      <c r="M68" s="11">
        <v>5.0</v>
      </c>
      <c r="N68" s="10">
        <v>4.0</v>
      </c>
      <c r="O68" s="11">
        <v>4.0</v>
      </c>
      <c r="P68" s="10">
        <v>4.0</v>
      </c>
      <c r="Q68" s="11">
        <v>3.0</v>
      </c>
      <c r="R68" s="10">
        <v>5.0</v>
      </c>
      <c r="S68" s="11">
        <v>4.0</v>
      </c>
      <c r="T68" s="11">
        <v>5.0</v>
      </c>
      <c r="U68" s="5">
        <f t="shared" si="1"/>
        <v>62</v>
      </c>
      <c r="V68" s="14">
        <f t="shared" si="2"/>
        <v>4.133333333</v>
      </c>
      <c r="W68" s="14">
        <f t="shared" si="3"/>
        <v>0.9154754164</v>
      </c>
      <c r="X68" s="5">
        <f t="shared" si="4"/>
        <v>4</v>
      </c>
      <c r="Y68" s="5">
        <f t="shared" si="5"/>
        <v>2</v>
      </c>
      <c r="Z68" s="5">
        <f t="shared" si="6"/>
        <v>5</v>
      </c>
    </row>
    <row r="69" ht="12.75" customHeight="1">
      <c r="A69" s="5" t="s">
        <v>58</v>
      </c>
      <c r="B69" s="6" t="s">
        <v>87</v>
      </c>
      <c r="C69" s="6" t="s">
        <v>65</v>
      </c>
      <c r="D69" s="6" t="s">
        <v>88</v>
      </c>
      <c r="E69" s="7" t="s">
        <v>8</v>
      </c>
      <c r="F69" s="10">
        <v>5.0</v>
      </c>
      <c r="G69" s="11">
        <v>5.0</v>
      </c>
      <c r="H69" s="10">
        <v>5.0</v>
      </c>
      <c r="I69" s="11">
        <v>5.0</v>
      </c>
      <c r="J69" s="10">
        <v>4.0</v>
      </c>
      <c r="K69" s="11">
        <v>3.0</v>
      </c>
      <c r="L69" s="10">
        <v>4.0</v>
      </c>
      <c r="M69" s="11">
        <v>4.0</v>
      </c>
      <c r="N69" s="10">
        <v>3.0</v>
      </c>
      <c r="O69" s="11">
        <v>5.0</v>
      </c>
      <c r="P69" s="10">
        <v>4.0</v>
      </c>
      <c r="Q69" s="11">
        <v>4.0</v>
      </c>
      <c r="R69" s="10">
        <v>5.0</v>
      </c>
      <c r="S69" s="11">
        <v>4.0</v>
      </c>
      <c r="T69" s="11">
        <v>5.0</v>
      </c>
      <c r="U69" s="5">
        <f t="shared" si="1"/>
        <v>65</v>
      </c>
      <c r="V69" s="14">
        <f t="shared" si="2"/>
        <v>4.333333333</v>
      </c>
      <c r="W69" s="14">
        <f t="shared" si="3"/>
        <v>0.7237468645</v>
      </c>
      <c r="X69" s="5">
        <f t="shared" si="4"/>
        <v>4</v>
      </c>
      <c r="Y69" s="5">
        <f t="shared" si="5"/>
        <v>3</v>
      </c>
      <c r="Z69" s="5">
        <f t="shared" si="6"/>
        <v>5</v>
      </c>
    </row>
    <row r="70" ht="12.75" customHeight="1">
      <c r="A70" s="6" t="s">
        <v>66</v>
      </c>
      <c r="B70" s="6" t="s">
        <v>87</v>
      </c>
      <c r="C70" s="6" t="s">
        <v>67</v>
      </c>
      <c r="D70" s="6" t="s">
        <v>88</v>
      </c>
      <c r="E70" s="7" t="s">
        <v>68</v>
      </c>
      <c r="F70" s="10">
        <v>5.0</v>
      </c>
      <c r="G70" s="11">
        <v>5.0</v>
      </c>
      <c r="H70" s="10">
        <v>4.0</v>
      </c>
      <c r="I70" s="11">
        <v>2.0</v>
      </c>
      <c r="J70" s="10">
        <v>3.0</v>
      </c>
      <c r="K70" s="11">
        <v>4.0</v>
      </c>
      <c r="L70" s="10">
        <v>5.0</v>
      </c>
      <c r="M70" s="11">
        <v>5.0</v>
      </c>
      <c r="N70" s="10">
        <v>5.0</v>
      </c>
      <c r="O70" s="11">
        <v>5.0</v>
      </c>
      <c r="P70" s="10">
        <v>4.0</v>
      </c>
      <c r="Q70" s="11">
        <v>4.0</v>
      </c>
      <c r="R70" s="10">
        <v>5.0</v>
      </c>
      <c r="S70" s="11">
        <v>4.0</v>
      </c>
      <c r="T70" s="11">
        <v>5.0</v>
      </c>
      <c r="U70" s="5">
        <f t="shared" si="1"/>
        <v>65</v>
      </c>
      <c r="V70" s="14">
        <f t="shared" si="2"/>
        <v>4.333333333</v>
      </c>
      <c r="W70" s="14">
        <f t="shared" si="3"/>
        <v>0.8997354108</v>
      </c>
      <c r="X70" s="5">
        <f t="shared" si="4"/>
        <v>5</v>
      </c>
      <c r="Y70" s="5">
        <f t="shared" si="5"/>
        <v>2</v>
      </c>
      <c r="Z70" s="5">
        <f t="shared" si="6"/>
        <v>5</v>
      </c>
    </row>
    <row r="71" ht="12.75" customHeight="1">
      <c r="A71" s="6" t="s">
        <v>66</v>
      </c>
      <c r="B71" s="6" t="s">
        <v>87</v>
      </c>
      <c r="C71" s="6" t="s">
        <v>69</v>
      </c>
      <c r="D71" s="6" t="s">
        <v>88</v>
      </c>
      <c r="E71" s="7" t="s">
        <v>70</v>
      </c>
      <c r="F71" s="10">
        <v>5.0</v>
      </c>
      <c r="G71" s="11">
        <v>5.0</v>
      </c>
      <c r="H71" s="10">
        <v>5.0</v>
      </c>
      <c r="I71" s="11">
        <v>2.0</v>
      </c>
      <c r="J71" s="10">
        <v>4.0</v>
      </c>
      <c r="K71" s="11">
        <v>3.0</v>
      </c>
      <c r="L71" s="10">
        <v>5.0</v>
      </c>
      <c r="M71" s="11">
        <v>5.0</v>
      </c>
      <c r="N71" s="10">
        <v>5.0</v>
      </c>
      <c r="O71" s="11">
        <v>5.0</v>
      </c>
      <c r="P71" s="10">
        <v>4.0</v>
      </c>
      <c r="Q71" s="11">
        <v>4.0</v>
      </c>
      <c r="R71" s="10">
        <v>4.0</v>
      </c>
      <c r="S71" s="11">
        <v>4.0</v>
      </c>
      <c r="T71" s="11">
        <v>5.0</v>
      </c>
      <c r="U71" s="5">
        <f t="shared" si="1"/>
        <v>65</v>
      </c>
      <c r="V71" s="14">
        <f t="shared" si="2"/>
        <v>4.333333333</v>
      </c>
      <c r="W71" s="14">
        <f t="shared" si="3"/>
        <v>0.8997354108</v>
      </c>
      <c r="X71" s="5">
        <f t="shared" si="4"/>
        <v>5</v>
      </c>
      <c r="Y71" s="5">
        <f t="shared" si="5"/>
        <v>2</v>
      </c>
      <c r="Z71" s="5">
        <f t="shared" si="6"/>
        <v>5</v>
      </c>
    </row>
    <row r="72" ht="12.75" customHeight="1">
      <c r="A72" s="6" t="s">
        <v>66</v>
      </c>
      <c r="B72" s="6" t="s">
        <v>87</v>
      </c>
      <c r="C72" s="6" t="s">
        <v>71</v>
      </c>
      <c r="D72" s="6" t="s">
        <v>88</v>
      </c>
      <c r="E72" s="7" t="s">
        <v>72</v>
      </c>
      <c r="F72" s="10">
        <v>5.0</v>
      </c>
      <c r="G72" s="11">
        <v>5.0</v>
      </c>
      <c r="H72" s="10">
        <v>5.0</v>
      </c>
      <c r="I72" s="11">
        <v>4.0</v>
      </c>
      <c r="J72" s="10">
        <v>3.0</v>
      </c>
      <c r="K72" s="11">
        <v>3.0</v>
      </c>
      <c r="L72" s="10">
        <v>5.0</v>
      </c>
      <c r="M72" s="11">
        <v>4.0</v>
      </c>
      <c r="N72" s="10">
        <v>5.0</v>
      </c>
      <c r="O72" s="11">
        <v>5.0</v>
      </c>
      <c r="P72" s="10">
        <v>4.0</v>
      </c>
      <c r="Q72" s="11">
        <v>5.0</v>
      </c>
      <c r="R72" s="10">
        <v>5.0</v>
      </c>
      <c r="S72" s="11">
        <v>5.0</v>
      </c>
      <c r="T72" s="11">
        <v>5.0</v>
      </c>
      <c r="U72" s="5">
        <f t="shared" si="1"/>
        <v>68</v>
      </c>
      <c r="V72" s="14">
        <f t="shared" si="2"/>
        <v>4.533333333</v>
      </c>
      <c r="W72" s="14">
        <f t="shared" si="3"/>
        <v>0.743223353</v>
      </c>
      <c r="X72" s="5">
        <f t="shared" si="4"/>
        <v>5</v>
      </c>
      <c r="Y72" s="5">
        <f t="shared" si="5"/>
        <v>3</v>
      </c>
      <c r="Z72" s="5">
        <f t="shared" si="6"/>
        <v>5</v>
      </c>
    </row>
    <row r="73" ht="12.75" customHeight="1">
      <c r="A73" s="6" t="s">
        <v>66</v>
      </c>
      <c r="B73" s="6" t="s">
        <v>87</v>
      </c>
      <c r="C73" s="6" t="s">
        <v>73</v>
      </c>
      <c r="D73" s="6" t="s">
        <v>88</v>
      </c>
      <c r="E73" s="7" t="s">
        <v>74</v>
      </c>
      <c r="F73" s="10">
        <v>4.0</v>
      </c>
      <c r="G73" s="11">
        <v>5.0</v>
      </c>
      <c r="H73" s="10">
        <v>5.0</v>
      </c>
      <c r="I73" s="11">
        <v>4.0</v>
      </c>
      <c r="J73" s="10">
        <v>4.0</v>
      </c>
      <c r="K73" s="11">
        <v>2.0</v>
      </c>
      <c r="L73" s="10">
        <v>4.0</v>
      </c>
      <c r="M73" s="11">
        <v>2.0</v>
      </c>
      <c r="N73" s="10">
        <v>5.0</v>
      </c>
      <c r="O73" s="11">
        <v>5.0</v>
      </c>
      <c r="P73" s="10">
        <v>4.0</v>
      </c>
      <c r="Q73" s="11">
        <v>3.0</v>
      </c>
      <c r="R73" s="10">
        <v>4.0</v>
      </c>
      <c r="S73" s="11">
        <v>4.0</v>
      </c>
      <c r="T73" s="11">
        <v>5.0</v>
      </c>
      <c r="U73" s="5">
        <f t="shared" si="1"/>
        <v>60</v>
      </c>
      <c r="V73" s="14">
        <f t="shared" si="2"/>
        <v>4</v>
      </c>
      <c r="W73" s="14">
        <f t="shared" si="3"/>
        <v>1</v>
      </c>
      <c r="X73" s="5">
        <f t="shared" si="4"/>
        <v>4</v>
      </c>
      <c r="Y73" s="5">
        <f t="shared" si="5"/>
        <v>2</v>
      </c>
      <c r="Z73" s="5">
        <f t="shared" si="6"/>
        <v>5</v>
      </c>
    </row>
    <row r="74" ht="12.75" customHeight="1">
      <c r="A74" s="6" t="s">
        <v>66</v>
      </c>
      <c r="B74" s="6" t="s">
        <v>87</v>
      </c>
      <c r="C74" s="6" t="s">
        <v>75</v>
      </c>
      <c r="D74" s="6" t="s">
        <v>88</v>
      </c>
      <c r="E74" s="7" t="s">
        <v>76</v>
      </c>
      <c r="F74" s="10">
        <v>4.0</v>
      </c>
      <c r="G74" s="11">
        <v>5.0</v>
      </c>
      <c r="H74" s="10">
        <v>5.0</v>
      </c>
      <c r="I74" s="11">
        <v>2.0</v>
      </c>
      <c r="J74" s="10">
        <v>3.0</v>
      </c>
      <c r="K74" s="11">
        <v>3.0</v>
      </c>
      <c r="L74" s="10">
        <v>4.0</v>
      </c>
      <c r="M74" s="11">
        <v>2.0</v>
      </c>
      <c r="N74" s="10">
        <v>4.0</v>
      </c>
      <c r="O74" s="11">
        <v>5.0</v>
      </c>
      <c r="P74" s="10">
        <v>4.0</v>
      </c>
      <c r="Q74" s="11">
        <v>4.0</v>
      </c>
      <c r="R74" s="10">
        <v>4.0</v>
      </c>
      <c r="S74" s="11">
        <v>5.0</v>
      </c>
      <c r="T74" s="11">
        <v>5.0</v>
      </c>
      <c r="U74" s="5">
        <f t="shared" si="1"/>
        <v>59</v>
      </c>
      <c r="V74" s="14">
        <f t="shared" si="2"/>
        <v>3.933333333</v>
      </c>
      <c r="W74" s="14">
        <f t="shared" si="3"/>
        <v>1.032795559</v>
      </c>
      <c r="X74" s="5">
        <f t="shared" si="4"/>
        <v>4</v>
      </c>
      <c r="Y74" s="5">
        <f t="shared" si="5"/>
        <v>2</v>
      </c>
      <c r="Z74" s="5">
        <f t="shared" si="6"/>
        <v>5</v>
      </c>
    </row>
    <row r="75" ht="12.75" customHeight="1">
      <c r="A75" s="5" t="s">
        <v>58</v>
      </c>
      <c r="B75" s="6" t="s">
        <v>89</v>
      </c>
      <c r="C75" s="6" t="s">
        <v>60</v>
      </c>
      <c r="D75" s="6" t="s">
        <v>90</v>
      </c>
      <c r="E75" s="7" t="s">
        <v>4</v>
      </c>
      <c r="F75" s="10">
        <v>5.0</v>
      </c>
      <c r="G75" s="11">
        <v>5.0</v>
      </c>
      <c r="H75" s="10">
        <v>4.0</v>
      </c>
      <c r="I75" s="11">
        <v>5.0</v>
      </c>
      <c r="J75" s="10">
        <v>4.0</v>
      </c>
      <c r="K75" s="11">
        <v>4.0</v>
      </c>
      <c r="L75" s="10">
        <v>5.0</v>
      </c>
      <c r="M75" s="11">
        <v>5.0</v>
      </c>
      <c r="N75" s="10">
        <v>5.0</v>
      </c>
      <c r="O75" s="11">
        <v>5.0</v>
      </c>
      <c r="P75" s="10">
        <v>5.0</v>
      </c>
      <c r="Q75" s="11">
        <v>4.0</v>
      </c>
      <c r="R75" s="10">
        <v>5.0</v>
      </c>
      <c r="S75" s="11">
        <v>5.0</v>
      </c>
      <c r="T75" s="11">
        <v>5.0</v>
      </c>
      <c r="U75" s="5">
        <f t="shared" si="1"/>
        <v>71</v>
      </c>
      <c r="V75" s="14">
        <f t="shared" si="2"/>
        <v>4.733333333</v>
      </c>
      <c r="W75" s="14">
        <f t="shared" si="3"/>
        <v>0.4577377082</v>
      </c>
      <c r="X75" s="5">
        <f t="shared" si="4"/>
        <v>5</v>
      </c>
      <c r="Y75" s="5">
        <f t="shared" si="5"/>
        <v>4</v>
      </c>
      <c r="Z75" s="5">
        <f t="shared" si="6"/>
        <v>5</v>
      </c>
    </row>
    <row r="76" ht="12.75" customHeight="1">
      <c r="A76" s="5" t="s">
        <v>58</v>
      </c>
      <c r="B76" s="6" t="s">
        <v>89</v>
      </c>
      <c r="C76" s="6" t="s">
        <v>62</v>
      </c>
      <c r="D76" s="6" t="s">
        <v>90</v>
      </c>
      <c r="E76" s="7" t="s">
        <v>5</v>
      </c>
      <c r="F76" s="10">
        <v>5.0</v>
      </c>
      <c r="G76" s="11">
        <v>5.0</v>
      </c>
      <c r="H76" s="10">
        <v>3.0</v>
      </c>
      <c r="I76" s="11">
        <v>5.0</v>
      </c>
      <c r="J76" s="10">
        <v>4.0</v>
      </c>
      <c r="K76" s="11">
        <v>4.0</v>
      </c>
      <c r="L76" s="10">
        <v>5.0</v>
      </c>
      <c r="M76" s="11">
        <v>5.0</v>
      </c>
      <c r="N76" s="10">
        <v>5.0</v>
      </c>
      <c r="O76" s="11">
        <v>5.0</v>
      </c>
      <c r="P76" s="10">
        <v>4.0</v>
      </c>
      <c r="Q76" s="11">
        <v>4.0</v>
      </c>
      <c r="R76" s="10">
        <v>5.0</v>
      </c>
      <c r="S76" s="11">
        <v>5.0</v>
      </c>
      <c r="T76" s="11">
        <v>5.0</v>
      </c>
      <c r="U76" s="5">
        <f t="shared" si="1"/>
        <v>69</v>
      </c>
      <c r="V76" s="14">
        <f t="shared" si="2"/>
        <v>4.6</v>
      </c>
      <c r="W76" s="14">
        <f t="shared" si="3"/>
        <v>0.632455532</v>
      </c>
      <c r="X76" s="5">
        <f t="shared" si="4"/>
        <v>5</v>
      </c>
      <c r="Y76" s="5">
        <f t="shared" si="5"/>
        <v>3</v>
      </c>
      <c r="Z76" s="5">
        <f t="shared" si="6"/>
        <v>5</v>
      </c>
    </row>
    <row r="77" ht="12.75" customHeight="1">
      <c r="A77" s="5" t="s">
        <v>58</v>
      </c>
      <c r="B77" s="6" t="s">
        <v>89</v>
      </c>
      <c r="C77" s="6" t="s">
        <v>63</v>
      </c>
      <c r="D77" s="6" t="s">
        <v>90</v>
      </c>
      <c r="E77" s="7" t="s">
        <v>6</v>
      </c>
      <c r="F77" s="10">
        <v>5.0</v>
      </c>
      <c r="G77" s="11">
        <v>5.0</v>
      </c>
      <c r="H77" s="10">
        <v>5.0</v>
      </c>
      <c r="I77" s="11">
        <v>5.0</v>
      </c>
      <c r="J77" s="10">
        <v>3.0</v>
      </c>
      <c r="K77" s="11">
        <v>3.0</v>
      </c>
      <c r="L77" s="10">
        <v>5.0</v>
      </c>
      <c r="M77" s="11">
        <v>5.0</v>
      </c>
      <c r="N77" s="10">
        <v>5.0</v>
      </c>
      <c r="O77" s="11">
        <v>5.0</v>
      </c>
      <c r="P77" s="10">
        <v>5.0</v>
      </c>
      <c r="Q77" s="11">
        <v>4.0</v>
      </c>
      <c r="R77" s="10">
        <v>5.0</v>
      </c>
      <c r="S77" s="11">
        <v>5.0</v>
      </c>
      <c r="T77" s="11">
        <v>5.0</v>
      </c>
      <c r="U77" s="5">
        <f t="shared" si="1"/>
        <v>70</v>
      </c>
      <c r="V77" s="14">
        <f t="shared" si="2"/>
        <v>4.666666667</v>
      </c>
      <c r="W77" s="14">
        <f t="shared" si="3"/>
        <v>0.7237468645</v>
      </c>
      <c r="X77" s="5">
        <f t="shared" si="4"/>
        <v>5</v>
      </c>
      <c r="Y77" s="5">
        <f t="shared" si="5"/>
        <v>3</v>
      </c>
      <c r="Z77" s="5">
        <f t="shared" si="6"/>
        <v>5</v>
      </c>
    </row>
    <row r="78" ht="12.75" customHeight="1">
      <c r="A78" s="5" t="s">
        <v>58</v>
      </c>
      <c r="B78" s="6" t="s">
        <v>89</v>
      </c>
      <c r="C78" s="6" t="s">
        <v>64</v>
      </c>
      <c r="D78" s="6" t="s">
        <v>90</v>
      </c>
      <c r="E78" s="7" t="s">
        <v>7</v>
      </c>
      <c r="F78" s="10">
        <v>4.0</v>
      </c>
      <c r="G78" s="11">
        <v>5.0</v>
      </c>
      <c r="H78" s="10">
        <v>5.0</v>
      </c>
      <c r="I78" s="11">
        <v>5.0</v>
      </c>
      <c r="J78" s="10">
        <v>4.0</v>
      </c>
      <c r="K78" s="11">
        <v>4.0</v>
      </c>
      <c r="L78" s="10">
        <v>5.0</v>
      </c>
      <c r="M78" s="11">
        <v>3.0</v>
      </c>
      <c r="N78" s="10">
        <v>5.0</v>
      </c>
      <c r="O78" s="11">
        <v>5.0</v>
      </c>
      <c r="P78" s="10">
        <v>5.0</v>
      </c>
      <c r="Q78" s="11">
        <v>4.0</v>
      </c>
      <c r="R78" s="10">
        <v>5.0</v>
      </c>
      <c r="S78" s="11">
        <v>5.0</v>
      </c>
      <c r="T78" s="11">
        <v>3.0</v>
      </c>
      <c r="U78" s="5">
        <f t="shared" si="1"/>
        <v>67</v>
      </c>
      <c r="V78" s="14">
        <f t="shared" si="2"/>
        <v>4.466666667</v>
      </c>
      <c r="W78" s="14">
        <f t="shared" si="3"/>
        <v>0.743223353</v>
      </c>
      <c r="X78" s="5">
        <f t="shared" si="4"/>
        <v>5</v>
      </c>
      <c r="Y78" s="5">
        <f t="shared" si="5"/>
        <v>3</v>
      </c>
      <c r="Z78" s="5">
        <f t="shared" si="6"/>
        <v>5</v>
      </c>
    </row>
    <row r="79" ht="12.75" customHeight="1">
      <c r="A79" s="5" t="s">
        <v>58</v>
      </c>
      <c r="B79" s="6" t="s">
        <v>89</v>
      </c>
      <c r="C79" s="6" t="s">
        <v>65</v>
      </c>
      <c r="D79" s="6" t="s">
        <v>90</v>
      </c>
      <c r="E79" s="7" t="s">
        <v>8</v>
      </c>
      <c r="F79" s="10">
        <v>4.0</v>
      </c>
      <c r="G79" s="11">
        <v>5.0</v>
      </c>
      <c r="H79" s="10">
        <v>3.0</v>
      </c>
      <c r="I79" s="11">
        <v>5.0</v>
      </c>
      <c r="J79" s="10">
        <v>3.0</v>
      </c>
      <c r="K79" s="11">
        <v>3.0</v>
      </c>
      <c r="L79" s="10">
        <v>4.0</v>
      </c>
      <c r="M79" s="11">
        <v>3.0</v>
      </c>
      <c r="N79" s="10">
        <v>5.0</v>
      </c>
      <c r="O79" s="11">
        <v>5.0</v>
      </c>
      <c r="P79" s="10">
        <v>5.0</v>
      </c>
      <c r="Q79" s="11">
        <v>4.0</v>
      </c>
      <c r="R79" s="10">
        <v>5.0</v>
      </c>
      <c r="S79" s="11">
        <v>5.0</v>
      </c>
      <c r="T79" s="11">
        <v>5.0</v>
      </c>
      <c r="U79" s="5">
        <f t="shared" si="1"/>
        <v>64</v>
      </c>
      <c r="V79" s="14">
        <f t="shared" si="2"/>
        <v>4.266666667</v>
      </c>
      <c r="W79" s="14">
        <f t="shared" si="3"/>
        <v>0.8837151017</v>
      </c>
      <c r="X79" s="5">
        <f t="shared" si="4"/>
        <v>5</v>
      </c>
      <c r="Y79" s="5">
        <f t="shared" si="5"/>
        <v>3</v>
      </c>
      <c r="Z79" s="5">
        <f t="shared" si="6"/>
        <v>5</v>
      </c>
    </row>
    <row r="80" ht="12.75" customHeight="1">
      <c r="A80" s="6" t="s">
        <v>66</v>
      </c>
      <c r="B80" s="6" t="s">
        <v>89</v>
      </c>
      <c r="C80" s="6" t="s">
        <v>67</v>
      </c>
      <c r="D80" s="6" t="s">
        <v>90</v>
      </c>
      <c r="E80" s="7" t="s">
        <v>68</v>
      </c>
      <c r="F80" s="10">
        <v>5.0</v>
      </c>
      <c r="G80" s="11">
        <v>5.0</v>
      </c>
      <c r="H80" s="10">
        <v>4.0</v>
      </c>
      <c r="I80" s="11">
        <v>5.0</v>
      </c>
      <c r="J80" s="10">
        <v>4.0</v>
      </c>
      <c r="K80" s="11">
        <v>4.0</v>
      </c>
      <c r="L80" s="10">
        <v>5.0</v>
      </c>
      <c r="M80" s="11">
        <v>5.0</v>
      </c>
      <c r="N80" s="10">
        <v>5.0</v>
      </c>
      <c r="O80" s="11">
        <v>5.0</v>
      </c>
      <c r="P80" s="10">
        <v>5.0</v>
      </c>
      <c r="Q80" s="11">
        <v>4.0</v>
      </c>
      <c r="R80" s="10">
        <v>5.0</v>
      </c>
      <c r="S80" s="11">
        <v>5.0</v>
      </c>
      <c r="T80" s="11">
        <v>5.0</v>
      </c>
      <c r="U80" s="5">
        <f t="shared" si="1"/>
        <v>71</v>
      </c>
      <c r="V80" s="14">
        <f t="shared" si="2"/>
        <v>4.733333333</v>
      </c>
      <c r="W80" s="14">
        <f t="shared" si="3"/>
        <v>0.4577377082</v>
      </c>
      <c r="X80" s="5">
        <f t="shared" si="4"/>
        <v>5</v>
      </c>
      <c r="Y80" s="5">
        <f t="shared" si="5"/>
        <v>4</v>
      </c>
      <c r="Z80" s="5">
        <f t="shared" si="6"/>
        <v>5</v>
      </c>
    </row>
    <row r="81" ht="12.75" customHeight="1">
      <c r="A81" s="6" t="s">
        <v>66</v>
      </c>
      <c r="B81" s="6" t="s">
        <v>89</v>
      </c>
      <c r="C81" s="6" t="s">
        <v>69</v>
      </c>
      <c r="D81" s="6" t="s">
        <v>90</v>
      </c>
      <c r="E81" s="7" t="s">
        <v>70</v>
      </c>
      <c r="F81" s="10">
        <v>5.0</v>
      </c>
      <c r="G81" s="11">
        <v>5.0</v>
      </c>
      <c r="H81" s="10">
        <v>4.0</v>
      </c>
      <c r="I81" s="11">
        <v>5.0</v>
      </c>
      <c r="J81" s="10">
        <v>4.0</v>
      </c>
      <c r="K81" s="11">
        <v>4.0</v>
      </c>
      <c r="L81" s="10">
        <v>5.0</v>
      </c>
      <c r="M81" s="11">
        <v>5.0</v>
      </c>
      <c r="N81" s="10">
        <v>5.0</v>
      </c>
      <c r="O81" s="11">
        <v>4.0</v>
      </c>
      <c r="P81" s="10">
        <v>5.0</v>
      </c>
      <c r="Q81" s="11">
        <v>3.0</v>
      </c>
      <c r="R81" s="10">
        <v>5.0</v>
      </c>
      <c r="S81" s="11">
        <v>5.0</v>
      </c>
      <c r="T81" s="11">
        <v>5.0</v>
      </c>
      <c r="U81" s="5">
        <f t="shared" si="1"/>
        <v>69</v>
      </c>
      <c r="V81" s="14">
        <f t="shared" si="2"/>
        <v>4.6</v>
      </c>
      <c r="W81" s="14">
        <f t="shared" si="3"/>
        <v>0.632455532</v>
      </c>
      <c r="X81" s="5">
        <f t="shared" si="4"/>
        <v>5</v>
      </c>
      <c r="Y81" s="5">
        <f t="shared" si="5"/>
        <v>3</v>
      </c>
      <c r="Z81" s="5">
        <f t="shared" si="6"/>
        <v>5</v>
      </c>
    </row>
    <row r="82" ht="12.75" customHeight="1">
      <c r="A82" s="6" t="s">
        <v>66</v>
      </c>
      <c r="B82" s="6" t="s">
        <v>89</v>
      </c>
      <c r="C82" s="6" t="s">
        <v>71</v>
      </c>
      <c r="D82" s="6" t="s">
        <v>90</v>
      </c>
      <c r="E82" s="7" t="s">
        <v>72</v>
      </c>
      <c r="F82" s="10">
        <v>3.0</v>
      </c>
      <c r="G82" s="11">
        <v>5.0</v>
      </c>
      <c r="H82" s="10">
        <v>4.0</v>
      </c>
      <c r="I82" s="11">
        <v>5.0</v>
      </c>
      <c r="J82" s="10">
        <v>3.0</v>
      </c>
      <c r="K82" s="11">
        <v>4.0</v>
      </c>
      <c r="L82" s="10">
        <v>5.0</v>
      </c>
      <c r="M82" s="11">
        <v>5.0</v>
      </c>
      <c r="N82" s="10">
        <v>5.0</v>
      </c>
      <c r="O82" s="11">
        <v>5.0</v>
      </c>
      <c r="P82" s="10">
        <v>5.0</v>
      </c>
      <c r="Q82" s="11">
        <v>3.0</v>
      </c>
      <c r="R82" s="10">
        <v>5.0</v>
      </c>
      <c r="S82" s="11">
        <v>5.0</v>
      </c>
      <c r="T82" s="11">
        <v>5.0</v>
      </c>
      <c r="U82" s="5">
        <f t="shared" si="1"/>
        <v>67</v>
      </c>
      <c r="V82" s="14">
        <f t="shared" si="2"/>
        <v>4.466666667</v>
      </c>
      <c r="W82" s="14">
        <f t="shared" si="3"/>
        <v>0.8338093878</v>
      </c>
      <c r="X82" s="5">
        <f t="shared" si="4"/>
        <v>5</v>
      </c>
      <c r="Y82" s="5">
        <f t="shared" si="5"/>
        <v>3</v>
      </c>
      <c r="Z82" s="5">
        <f t="shared" si="6"/>
        <v>5</v>
      </c>
    </row>
    <row r="83" ht="12.75" customHeight="1">
      <c r="A83" s="6" t="s">
        <v>66</v>
      </c>
      <c r="B83" s="6" t="s">
        <v>89</v>
      </c>
      <c r="C83" s="6" t="s">
        <v>73</v>
      </c>
      <c r="D83" s="6" t="s">
        <v>90</v>
      </c>
      <c r="E83" s="7" t="s">
        <v>74</v>
      </c>
      <c r="F83" s="10">
        <v>4.0</v>
      </c>
      <c r="G83" s="11">
        <v>5.0</v>
      </c>
      <c r="H83" s="10">
        <v>4.0</v>
      </c>
      <c r="I83" s="11">
        <v>5.0</v>
      </c>
      <c r="J83" s="10">
        <v>4.0</v>
      </c>
      <c r="K83" s="11">
        <v>4.0</v>
      </c>
      <c r="L83" s="10">
        <v>4.0</v>
      </c>
      <c r="M83" s="11">
        <v>4.0</v>
      </c>
      <c r="N83" s="10">
        <v>5.0</v>
      </c>
      <c r="O83" s="11">
        <v>4.0</v>
      </c>
      <c r="P83" s="10">
        <v>5.0</v>
      </c>
      <c r="Q83" s="11">
        <v>1.0</v>
      </c>
      <c r="R83" s="10">
        <v>4.0</v>
      </c>
      <c r="S83" s="11">
        <v>4.0</v>
      </c>
      <c r="T83" s="11">
        <v>5.0</v>
      </c>
      <c r="U83" s="5">
        <f t="shared" si="1"/>
        <v>62</v>
      </c>
      <c r="V83" s="14">
        <f t="shared" si="2"/>
        <v>4.133333333</v>
      </c>
      <c r="W83" s="14">
        <f t="shared" si="3"/>
        <v>0.9904304019</v>
      </c>
      <c r="X83" s="5">
        <f t="shared" si="4"/>
        <v>4</v>
      </c>
      <c r="Y83" s="5">
        <f t="shared" si="5"/>
        <v>1</v>
      </c>
      <c r="Z83" s="5">
        <f t="shared" si="6"/>
        <v>5</v>
      </c>
    </row>
    <row r="84" ht="12.75" customHeight="1">
      <c r="A84" s="6" t="s">
        <v>66</v>
      </c>
      <c r="B84" s="6" t="s">
        <v>89</v>
      </c>
      <c r="C84" s="6" t="s">
        <v>75</v>
      </c>
      <c r="D84" s="6" t="s">
        <v>90</v>
      </c>
      <c r="E84" s="7" t="s">
        <v>76</v>
      </c>
      <c r="F84" s="10">
        <v>4.0</v>
      </c>
      <c r="G84" s="11">
        <v>5.0</v>
      </c>
      <c r="H84" s="10">
        <v>4.0</v>
      </c>
      <c r="I84" s="11">
        <v>5.0</v>
      </c>
      <c r="J84" s="10">
        <v>4.0</v>
      </c>
      <c r="K84" s="11">
        <v>3.0</v>
      </c>
      <c r="L84" s="10">
        <v>4.0</v>
      </c>
      <c r="M84" s="11">
        <v>4.0</v>
      </c>
      <c r="N84" s="10">
        <v>5.0</v>
      </c>
      <c r="O84" s="11">
        <v>4.0</v>
      </c>
      <c r="P84" s="10">
        <v>5.0</v>
      </c>
      <c r="Q84" s="11">
        <v>1.0</v>
      </c>
      <c r="R84" s="10">
        <v>4.0</v>
      </c>
      <c r="S84" s="11">
        <v>5.0</v>
      </c>
      <c r="T84" s="11">
        <v>5.0</v>
      </c>
      <c r="U84" s="5">
        <f t="shared" si="1"/>
        <v>62</v>
      </c>
      <c r="V84" s="14">
        <f t="shared" si="2"/>
        <v>4.133333333</v>
      </c>
      <c r="W84" s="14">
        <f t="shared" si="3"/>
        <v>1.060098827</v>
      </c>
      <c r="X84" s="5">
        <f t="shared" si="4"/>
        <v>4</v>
      </c>
      <c r="Y84" s="5">
        <f t="shared" si="5"/>
        <v>1</v>
      </c>
      <c r="Z84" s="5">
        <f t="shared" si="6"/>
        <v>5</v>
      </c>
    </row>
    <row r="85" ht="12.75" customHeight="1">
      <c r="A85" s="5" t="s">
        <v>58</v>
      </c>
      <c r="B85" s="6" t="s">
        <v>91</v>
      </c>
      <c r="C85" s="6" t="s">
        <v>60</v>
      </c>
      <c r="D85" s="6" t="s">
        <v>92</v>
      </c>
      <c r="E85" s="7" t="s">
        <v>4</v>
      </c>
      <c r="F85" s="10">
        <v>5.0</v>
      </c>
      <c r="G85" s="11">
        <v>5.0</v>
      </c>
      <c r="H85" s="10">
        <v>5.0</v>
      </c>
      <c r="I85" s="11">
        <v>5.0</v>
      </c>
      <c r="J85" s="10">
        <v>4.0</v>
      </c>
      <c r="K85" s="11">
        <v>4.0</v>
      </c>
      <c r="L85" s="10">
        <v>5.0</v>
      </c>
      <c r="M85" s="11">
        <v>5.0</v>
      </c>
      <c r="N85" s="10">
        <v>5.0</v>
      </c>
      <c r="O85" s="11">
        <v>4.0</v>
      </c>
      <c r="P85" s="10">
        <v>3.0</v>
      </c>
      <c r="Q85" s="11">
        <v>5.0</v>
      </c>
      <c r="R85" s="10">
        <v>5.0</v>
      </c>
      <c r="S85" s="11">
        <v>4.0</v>
      </c>
      <c r="T85" s="11">
        <v>5.0</v>
      </c>
      <c r="U85" s="5">
        <f t="shared" si="1"/>
        <v>69</v>
      </c>
      <c r="V85" s="14">
        <f t="shared" si="2"/>
        <v>4.6</v>
      </c>
      <c r="W85" s="14">
        <f t="shared" si="3"/>
        <v>0.632455532</v>
      </c>
      <c r="X85" s="5">
        <f t="shared" si="4"/>
        <v>5</v>
      </c>
      <c r="Y85" s="5">
        <f t="shared" si="5"/>
        <v>3</v>
      </c>
      <c r="Z85" s="5">
        <f t="shared" si="6"/>
        <v>5</v>
      </c>
    </row>
    <row r="86" ht="12.75" customHeight="1">
      <c r="A86" s="5" t="s">
        <v>58</v>
      </c>
      <c r="B86" s="6" t="s">
        <v>91</v>
      </c>
      <c r="C86" s="6" t="s">
        <v>62</v>
      </c>
      <c r="D86" s="6" t="s">
        <v>92</v>
      </c>
      <c r="E86" s="7" t="s">
        <v>5</v>
      </c>
      <c r="F86" s="10">
        <v>5.0</v>
      </c>
      <c r="G86" s="11">
        <v>5.0</v>
      </c>
      <c r="H86" s="10">
        <v>5.0</v>
      </c>
      <c r="I86" s="11">
        <v>5.0</v>
      </c>
      <c r="J86" s="10">
        <v>4.0</v>
      </c>
      <c r="K86" s="11">
        <v>4.0</v>
      </c>
      <c r="L86" s="10">
        <v>5.0</v>
      </c>
      <c r="M86" s="11">
        <v>5.0</v>
      </c>
      <c r="N86" s="10">
        <v>5.0</v>
      </c>
      <c r="O86" s="11">
        <v>5.0</v>
      </c>
      <c r="P86" s="10">
        <v>4.0</v>
      </c>
      <c r="Q86" s="11">
        <v>4.0</v>
      </c>
      <c r="R86" s="10">
        <v>5.0</v>
      </c>
      <c r="S86" s="11">
        <v>3.0</v>
      </c>
      <c r="T86" s="11">
        <v>5.0</v>
      </c>
      <c r="U86" s="5">
        <f t="shared" si="1"/>
        <v>69</v>
      </c>
      <c r="V86" s="14">
        <f t="shared" si="2"/>
        <v>4.6</v>
      </c>
      <c r="W86" s="14">
        <f t="shared" si="3"/>
        <v>0.632455532</v>
      </c>
      <c r="X86" s="5">
        <f t="shared" si="4"/>
        <v>5</v>
      </c>
      <c r="Y86" s="5">
        <f t="shared" si="5"/>
        <v>3</v>
      </c>
      <c r="Z86" s="5">
        <f t="shared" si="6"/>
        <v>5</v>
      </c>
    </row>
    <row r="87" ht="12.75" customHeight="1">
      <c r="A87" s="5" t="s">
        <v>58</v>
      </c>
      <c r="B87" s="6" t="s">
        <v>91</v>
      </c>
      <c r="C87" s="6" t="s">
        <v>63</v>
      </c>
      <c r="D87" s="6" t="s">
        <v>92</v>
      </c>
      <c r="E87" s="7" t="s">
        <v>6</v>
      </c>
      <c r="F87" s="10">
        <v>5.0</v>
      </c>
      <c r="G87" s="11">
        <v>5.0</v>
      </c>
      <c r="H87" s="10">
        <v>5.0</v>
      </c>
      <c r="I87" s="11">
        <v>5.0</v>
      </c>
      <c r="J87" s="10">
        <v>3.0</v>
      </c>
      <c r="K87" s="11">
        <v>5.0</v>
      </c>
      <c r="L87" s="10">
        <v>5.0</v>
      </c>
      <c r="M87" s="11">
        <v>5.0</v>
      </c>
      <c r="N87" s="10">
        <v>5.0</v>
      </c>
      <c r="O87" s="11">
        <v>4.0</v>
      </c>
      <c r="P87" s="10">
        <v>4.0</v>
      </c>
      <c r="Q87" s="11">
        <v>3.0</v>
      </c>
      <c r="R87" s="10">
        <v>5.0</v>
      </c>
      <c r="S87" s="11">
        <v>4.0</v>
      </c>
      <c r="T87" s="11">
        <v>5.0</v>
      </c>
      <c r="U87" s="5">
        <f t="shared" si="1"/>
        <v>68</v>
      </c>
      <c r="V87" s="14">
        <f t="shared" si="2"/>
        <v>4.533333333</v>
      </c>
      <c r="W87" s="14">
        <f t="shared" si="3"/>
        <v>0.743223353</v>
      </c>
      <c r="X87" s="5">
        <f t="shared" si="4"/>
        <v>5</v>
      </c>
      <c r="Y87" s="5">
        <f t="shared" si="5"/>
        <v>3</v>
      </c>
      <c r="Z87" s="5">
        <f t="shared" si="6"/>
        <v>5</v>
      </c>
    </row>
    <row r="88" ht="12.75" customHeight="1">
      <c r="A88" s="5" t="s">
        <v>58</v>
      </c>
      <c r="B88" s="6" t="s">
        <v>91</v>
      </c>
      <c r="C88" s="6" t="s">
        <v>64</v>
      </c>
      <c r="D88" s="6" t="s">
        <v>92</v>
      </c>
      <c r="E88" s="7" t="s">
        <v>7</v>
      </c>
      <c r="F88" s="10">
        <v>5.0</v>
      </c>
      <c r="G88" s="11">
        <v>5.0</v>
      </c>
      <c r="H88" s="10">
        <v>5.0</v>
      </c>
      <c r="I88" s="11">
        <v>5.0</v>
      </c>
      <c r="J88" s="10">
        <v>4.0</v>
      </c>
      <c r="K88" s="11">
        <v>5.0</v>
      </c>
      <c r="L88" s="10">
        <v>5.0</v>
      </c>
      <c r="M88" s="11">
        <v>4.0</v>
      </c>
      <c r="N88" s="10">
        <v>5.0</v>
      </c>
      <c r="O88" s="11">
        <v>5.0</v>
      </c>
      <c r="P88" s="10">
        <v>4.0</v>
      </c>
      <c r="Q88" s="11">
        <v>3.0</v>
      </c>
      <c r="R88" s="10">
        <v>5.0</v>
      </c>
      <c r="S88" s="11">
        <v>3.0</v>
      </c>
      <c r="T88" s="11">
        <v>5.0</v>
      </c>
      <c r="U88" s="5">
        <f t="shared" si="1"/>
        <v>68</v>
      </c>
      <c r="V88" s="14">
        <f t="shared" si="2"/>
        <v>4.533333333</v>
      </c>
      <c r="W88" s="14">
        <f t="shared" si="3"/>
        <v>0.743223353</v>
      </c>
      <c r="X88" s="5">
        <f t="shared" si="4"/>
        <v>5</v>
      </c>
      <c r="Y88" s="5">
        <f t="shared" si="5"/>
        <v>3</v>
      </c>
      <c r="Z88" s="5">
        <f t="shared" si="6"/>
        <v>5</v>
      </c>
    </row>
    <row r="89" ht="12.75" customHeight="1">
      <c r="A89" s="5" t="s">
        <v>58</v>
      </c>
      <c r="B89" s="6" t="s">
        <v>91</v>
      </c>
      <c r="C89" s="6" t="s">
        <v>65</v>
      </c>
      <c r="D89" s="6" t="s">
        <v>92</v>
      </c>
      <c r="E89" s="7" t="s">
        <v>8</v>
      </c>
      <c r="F89" s="10">
        <v>5.0</v>
      </c>
      <c r="G89" s="11">
        <v>5.0</v>
      </c>
      <c r="H89" s="10">
        <v>5.0</v>
      </c>
      <c r="I89" s="11">
        <v>5.0</v>
      </c>
      <c r="J89" s="10">
        <v>3.0</v>
      </c>
      <c r="K89" s="11">
        <v>4.0</v>
      </c>
      <c r="L89" s="10">
        <v>4.0</v>
      </c>
      <c r="M89" s="11">
        <v>2.0</v>
      </c>
      <c r="N89" s="10">
        <v>5.0</v>
      </c>
      <c r="O89" s="11">
        <v>5.0</v>
      </c>
      <c r="P89" s="10">
        <v>4.0</v>
      </c>
      <c r="Q89" s="11">
        <v>3.0</v>
      </c>
      <c r="R89" s="10">
        <v>5.0</v>
      </c>
      <c r="S89" s="11">
        <v>4.0</v>
      </c>
      <c r="T89" s="11">
        <v>5.0</v>
      </c>
      <c r="U89" s="5">
        <f t="shared" si="1"/>
        <v>64</v>
      </c>
      <c r="V89" s="14">
        <f t="shared" si="2"/>
        <v>4.266666667</v>
      </c>
      <c r="W89" s="14">
        <f t="shared" si="3"/>
        <v>0.9611501047</v>
      </c>
      <c r="X89" s="5">
        <f t="shared" si="4"/>
        <v>5</v>
      </c>
      <c r="Y89" s="5">
        <f t="shared" si="5"/>
        <v>2</v>
      </c>
      <c r="Z89" s="5">
        <f t="shared" si="6"/>
        <v>5</v>
      </c>
    </row>
    <row r="90" ht="12.75" customHeight="1">
      <c r="A90" s="6" t="s">
        <v>66</v>
      </c>
      <c r="B90" s="6" t="s">
        <v>91</v>
      </c>
      <c r="C90" s="6" t="s">
        <v>67</v>
      </c>
      <c r="D90" s="6" t="s">
        <v>92</v>
      </c>
      <c r="E90" s="7" t="s">
        <v>68</v>
      </c>
      <c r="F90" s="10">
        <v>5.0</v>
      </c>
      <c r="G90" s="11">
        <v>5.0</v>
      </c>
      <c r="H90" s="10">
        <v>5.0</v>
      </c>
      <c r="I90" s="11">
        <v>5.0</v>
      </c>
      <c r="J90" s="10">
        <v>3.0</v>
      </c>
      <c r="K90" s="11">
        <v>4.0</v>
      </c>
      <c r="L90" s="10">
        <v>5.0</v>
      </c>
      <c r="M90" s="11">
        <v>5.0</v>
      </c>
      <c r="N90" s="10">
        <v>5.0</v>
      </c>
      <c r="O90" s="11">
        <v>5.0</v>
      </c>
      <c r="P90" s="10">
        <v>4.0</v>
      </c>
      <c r="Q90" s="11">
        <v>3.0</v>
      </c>
      <c r="R90" s="10">
        <v>5.0</v>
      </c>
      <c r="S90" s="11">
        <v>4.0</v>
      </c>
      <c r="T90" s="11">
        <v>5.0</v>
      </c>
      <c r="U90" s="5">
        <f t="shared" si="1"/>
        <v>68</v>
      </c>
      <c r="V90" s="14">
        <f t="shared" si="2"/>
        <v>4.533333333</v>
      </c>
      <c r="W90" s="14">
        <f t="shared" si="3"/>
        <v>0.743223353</v>
      </c>
      <c r="X90" s="5">
        <f t="shared" si="4"/>
        <v>5</v>
      </c>
      <c r="Y90" s="5">
        <f t="shared" si="5"/>
        <v>3</v>
      </c>
      <c r="Z90" s="5">
        <f t="shared" si="6"/>
        <v>5</v>
      </c>
    </row>
    <row r="91" ht="12.75" customHeight="1">
      <c r="A91" s="6" t="s">
        <v>66</v>
      </c>
      <c r="B91" s="6" t="s">
        <v>91</v>
      </c>
      <c r="C91" s="6" t="s">
        <v>69</v>
      </c>
      <c r="D91" s="6" t="s">
        <v>92</v>
      </c>
      <c r="E91" s="7" t="s">
        <v>70</v>
      </c>
      <c r="F91" s="10">
        <v>5.0</v>
      </c>
      <c r="G91" s="11">
        <v>5.0</v>
      </c>
      <c r="H91" s="10">
        <v>5.0</v>
      </c>
      <c r="I91" s="11">
        <v>5.0</v>
      </c>
      <c r="J91" s="10">
        <v>3.0</v>
      </c>
      <c r="K91" s="11">
        <v>4.0</v>
      </c>
      <c r="L91" s="10">
        <v>5.0</v>
      </c>
      <c r="M91" s="11">
        <v>4.0</v>
      </c>
      <c r="N91" s="10">
        <v>5.0</v>
      </c>
      <c r="O91" s="11">
        <v>3.0</v>
      </c>
      <c r="P91" s="10">
        <v>4.0</v>
      </c>
      <c r="Q91" s="11">
        <v>3.0</v>
      </c>
      <c r="R91" s="10">
        <v>5.0</v>
      </c>
      <c r="S91" s="11">
        <v>3.0</v>
      </c>
      <c r="T91" s="11">
        <v>5.0</v>
      </c>
      <c r="U91" s="5">
        <f t="shared" si="1"/>
        <v>64</v>
      </c>
      <c r="V91" s="14">
        <f t="shared" si="2"/>
        <v>4.266666667</v>
      </c>
      <c r="W91" s="14">
        <f t="shared" si="3"/>
        <v>0.8837151017</v>
      </c>
      <c r="X91" s="5">
        <f t="shared" si="4"/>
        <v>5</v>
      </c>
      <c r="Y91" s="5">
        <f t="shared" si="5"/>
        <v>3</v>
      </c>
      <c r="Z91" s="5">
        <f t="shared" si="6"/>
        <v>5</v>
      </c>
    </row>
    <row r="92" ht="12.75" customHeight="1">
      <c r="A92" s="6" t="s">
        <v>66</v>
      </c>
      <c r="B92" s="6" t="s">
        <v>91</v>
      </c>
      <c r="C92" s="6" t="s">
        <v>71</v>
      </c>
      <c r="D92" s="6" t="s">
        <v>92</v>
      </c>
      <c r="E92" s="7" t="s">
        <v>72</v>
      </c>
      <c r="F92" s="10">
        <v>5.0</v>
      </c>
      <c r="G92" s="11">
        <v>5.0</v>
      </c>
      <c r="H92" s="10">
        <v>5.0</v>
      </c>
      <c r="I92" s="11">
        <v>5.0</v>
      </c>
      <c r="J92" s="10">
        <v>4.0</v>
      </c>
      <c r="K92" s="11">
        <v>5.0</v>
      </c>
      <c r="L92" s="10">
        <v>5.0</v>
      </c>
      <c r="M92" s="11">
        <v>5.0</v>
      </c>
      <c r="N92" s="10">
        <v>5.0</v>
      </c>
      <c r="O92" s="11">
        <v>5.0</v>
      </c>
      <c r="P92" s="10">
        <v>4.0</v>
      </c>
      <c r="Q92" s="11">
        <v>3.0</v>
      </c>
      <c r="R92" s="10">
        <v>5.0</v>
      </c>
      <c r="S92" s="11">
        <v>4.0</v>
      </c>
      <c r="T92" s="11">
        <v>5.0</v>
      </c>
      <c r="U92" s="5">
        <f t="shared" si="1"/>
        <v>70</v>
      </c>
      <c r="V92" s="14">
        <f t="shared" si="2"/>
        <v>4.666666667</v>
      </c>
      <c r="W92" s="14">
        <f t="shared" si="3"/>
        <v>0.6172133998</v>
      </c>
      <c r="X92" s="5">
        <f t="shared" si="4"/>
        <v>5</v>
      </c>
      <c r="Y92" s="5">
        <f t="shared" si="5"/>
        <v>3</v>
      </c>
      <c r="Z92" s="5">
        <f t="shared" si="6"/>
        <v>5</v>
      </c>
    </row>
    <row r="93" ht="12.75" customHeight="1">
      <c r="A93" s="6" t="s">
        <v>66</v>
      </c>
      <c r="B93" s="6" t="s">
        <v>91</v>
      </c>
      <c r="C93" s="6" t="s">
        <v>73</v>
      </c>
      <c r="D93" s="6" t="s">
        <v>92</v>
      </c>
      <c r="E93" s="7" t="s">
        <v>74</v>
      </c>
      <c r="F93" s="10">
        <v>5.0</v>
      </c>
      <c r="G93" s="11">
        <v>5.0</v>
      </c>
      <c r="H93" s="10">
        <v>5.0</v>
      </c>
      <c r="I93" s="11">
        <v>5.0</v>
      </c>
      <c r="J93" s="10">
        <v>3.0</v>
      </c>
      <c r="K93" s="11">
        <v>4.0</v>
      </c>
      <c r="L93" s="10">
        <v>4.0</v>
      </c>
      <c r="M93" s="11">
        <v>4.0</v>
      </c>
      <c r="N93" s="10">
        <v>4.0</v>
      </c>
      <c r="O93" s="11">
        <v>5.0</v>
      </c>
      <c r="P93" s="10">
        <v>4.0</v>
      </c>
      <c r="Q93" s="11">
        <v>3.0</v>
      </c>
      <c r="R93" s="10">
        <v>4.0</v>
      </c>
      <c r="S93" s="11">
        <v>4.0</v>
      </c>
      <c r="T93" s="11">
        <v>5.0</v>
      </c>
      <c r="U93" s="5">
        <f t="shared" si="1"/>
        <v>64</v>
      </c>
      <c r="V93" s="14">
        <f t="shared" si="2"/>
        <v>4.266666667</v>
      </c>
      <c r="W93" s="14">
        <f t="shared" si="3"/>
        <v>0.7037315505</v>
      </c>
      <c r="X93" s="5">
        <f t="shared" si="4"/>
        <v>4</v>
      </c>
      <c r="Y93" s="5">
        <f t="shared" si="5"/>
        <v>3</v>
      </c>
      <c r="Z93" s="5">
        <f t="shared" si="6"/>
        <v>5</v>
      </c>
    </row>
    <row r="94" ht="12.75" customHeight="1">
      <c r="A94" s="6" t="s">
        <v>66</v>
      </c>
      <c r="B94" s="6" t="s">
        <v>91</v>
      </c>
      <c r="C94" s="6" t="s">
        <v>75</v>
      </c>
      <c r="D94" s="6" t="s">
        <v>92</v>
      </c>
      <c r="E94" s="7" t="s">
        <v>76</v>
      </c>
      <c r="F94" s="10">
        <v>5.0</v>
      </c>
      <c r="G94" s="11">
        <v>5.0</v>
      </c>
      <c r="H94" s="10">
        <v>5.0</v>
      </c>
      <c r="I94" s="11">
        <v>5.0</v>
      </c>
      <c r="J94" s="10">
        <v>4.0</v>
      </c>
      <c r="K94" s="11">
        <v>3.0</v>
      </c>
      <c r="L94" s="10">
        <v>4.0</v>
      </c>
      <c r="M94" s="11">
        <v>4.0</v>
      </c>
      <c r="N94" s="10">
        <v>5.0</v>
      </c>
      <c r="O94" s="11">
        <v>5.0</v>
      </c>
      <c r="P94" s="10">
        <v>4.0</v>
      </c>
      <c r="Q94" s="11">
        <v>3.0</v>
      </c>
      <c r="R94" s="10">
        <v>4.0</v>
      </c>
      <c r="S94" s="11">
        <v>4.0</v>
      </c>
      <c r="T94" s="11">
        <v>5.0</v>
      </c>
      <c r="U94" s="5">
        <f t="shared" si="1"/>
        <v>65</v>
      </c>
      <c r="V94" s="14">
        <f t="shared" si="2"/>
        <v>4.333333333</v>
      </c>
      <c r="W94" s="14">
        <f t="shared" si="3"/>
        <v>0.7237468645</v>
      </c>
      <c r="X94" s="5">
        <f t="shared" si="4"/>
        <v>4</v>
      </c>
      <c r="Y94" s="5">
        <f t="shared" si="5"/>
        <v>3</v>
      </c>
      <c r="Z94" s="5">
        <f t="shared" si="6"/>
        <v>5</v>
      </c>
    </row>
    <row r="95" ht="12.75" customHeight="1">
      <c r="A95" s="5" t="s">
        <v>58</v>
      </c>
      <c r="B95" s="6" t="s">
        <v>93</v>
      </c>
      <c r="C95" s="6" t="s">
        <v>60</v>
      </c>
      <c r="D95" s="6" t="s">
        <v>94</v>
      </c>
      <c r="E95" s="7" t="s">
        <v>4</v>
      </c>
      <c r="F95" s="10">
        <v>4.0</v>
      </c>
      <c r="G95" s="11">
        <v>5.0</v>
      </c>
      <c r="H95" s="10">
        <v>5.0</v>
      </c>
      <c r="I95" s="11">
        <v>5.0</v>
      </c>
      <c r="J95" s="10">
        <v>4.0</v>
      </c>
      <c r="K95" s="11">
        <v>4.0</v>
      </c>
      <c r="L95" s="10">
        <v>5.0</v>
      </c>
      <c r="M95" s="11">
        <v>5.0</v>
      </c>
      <c r="N95" s="10">
        <v>5.0</v>
      </c>
      <c r="O95" s="11">
        <v>5.0</v>
      </c>
      <c r="P95" s="10">
        <v>4.0</v>
      </c>
      <c r="Q95" s="11">
        <v>3.0</v>
      </c>
      <c r="R95" s="10">
        <v>5.0</v>
      </c>
      <c r="S95" s="11">
        <v>5.0</v>
      </c>
      <c r="T95" s="11">
        <v>5.0</v>
      </c>
      <c r="U95" s="5">
        <f t="shared" si="1"/>
        <v>69</v>
      </c>
      <c r="V95" s="14">
        <f t="shared" si="2"/>
        <v>4.6</v>
      </c>
      <c r="W95" s="14">
        <f t="shared" si="3"/>
        <v>0.632455532</v>
      </c>
      <c r="X95" s="5">
        <f t="shared" si="4"/>
        <v>5</v>
      </c>
      <c r="Y95" s="5">
        <f t="shared" si="5"/>
        <v>3</v>
      </c>
      <c r="Z95" s="5">
        <f t="shared" si="6"/>
        <v>5</v>
      </c>
    </row>
    <row r="96" ht="12.75" customHeight="1">
      <c r="A96" s="5" t="s">
        <v>58</v>
      </c>
      <c r="B96" s="6" t="s">
        <v>93</v>
      </c>
      <c r="C96" s="6" t="s">
        <v>62</v>
      </c>
      <c r="D96" s="6" t="s">
        <v>94</v>
      </c>
      <c r="E96" s="7" t="s">
        <v>5</v>
      </c>
      <c r="F96" s="10">
        <v>5.0</v>
      </c>
      <c r="G96" s="11">
        <v>5.0</v>
      </c>
      <c r="H96" s="10">
        <v>5.0</v>
      </c>
      <c r="I96" s="11">
        <v>5.0</v>
      </c>
      <c r="J96" s="10">
        <v>3.0</v>
      </c>
      <c r="K96" s="11">
        <v>4.0</v>
      </c>
      <c r="L96" s="10">
        <v>5.0</v>
      </c>
      <c r="M96" s="11">
        <v>5.0</v>
      </c>
      <c r="N96" s="10">
        <v>5.0</v>
      </c>
      <c r="O96" s="11">
        <v>5.0</v>
      </c>
      <c r="P96" s="10">
        <v>4.0</v>
      </c>
      <c r="Q96" s="11">
        <v>4.0</v>
      </c>
      <c r="R96" s="10">
        <v>5.0</v>
      </c>
      <c r="S96" s="11">
        <v>5.0</v>
      </c>
      <c r="T96" s="11">
        <v>5.0</v>
      </c>
      <c r="U96" s="5">
        <f t="shared" si="1"/>
        <v>70</v>
      </c>
      <c r="V96" s="14">
        <f t="shared" si="2"/>
        <v>4.666666667</v>
      </c>
      <c r="W96" s="14">
        <f t="shared" si="3"/>
        <v>0.6172133998</v>
      </c>
      <c r="X96" s="5">
        <f t="shared" si="4"/>
        <v>5</v>
      </c>
      <c r="Y96" s="5">
        <f t="shared" si="5"/>
        <v>3</v>
      </c>
      <c r="Z96" s="5">
        <f t="shared" si="6"/>
        <v>5</v>
      </c>
    </row>
    <row r="97" ht="12.75" customHeight="1">
      <c r="A97" s="5" t="s">
        <v>58</v>
      </c>
      <c r="B97" s="6" t="s">
        <v>93</v>
      </c>
      <c r="C97" s="6" t="s">
        <v>63</v>
      </c>
      <c r="D97" s="6" t="s">
        <v>94</v>
      </c>
      <c r="E97" s="7" t="s">
        <v>6</v>
      </c>
      <c r="F97" s="10">
        <v>3.0</v>
      </c>
      <c r="G97" s="11">
        <v>5.0</v>
      </c>
      <c r="H97" s="10">
        <v>5.0</v>
      </c>
      <c r="I97" s="11">
        <v>5.0</v>
      </c>
      <c r="J97" s="10">
        <v>3.0</v>
      </c>
      <c r="K97" s="11">
        <v>5.0</v>
      </c>
      <c r="L97" s="10">
        <v>5.0</v>
      </c>
      <c r="M97" s="11">
        <v>5.0</v>
      </c>
      <c r="N97" s="10">
        <v>5.0</v>
      </c>
      <c r="O97" s="11">
        <v>5.0</v>
      </c>
      <c r="P97" s="10">
        <v>4.0</v>
      </c>
      <c r="Q97" s="11">
        <v>3.0</v>
      </c>
      <c r="R97" s="10">
        <v>5.0</v>
      </c>
      <c r="S97" s="11">
        <v>5.0</v>
      </c>
      <c r="T97" s="11">
        <v>5.0</v>
      </c>
      <c r="U97" s="5">
        <f t="shared" si="1"/>
        <v>68</v>
      </c>
      <c r="V97" s="14">
        <f t="shared" si="2"/>
        <v>4.533333333</v>
      </c>
      <c r="W97" s="14">
        <f t="shared" si="3"/>
        <v>0.8338093878</v>
      </c>
      <c r="X97" s="5">
        <f t="shared" si="4"/>
        <v>5</v>
      </c>
      <c r="Y97" s="5">
        <f t="shared" si="5"/>
        <v>3</v>
      </c>
      <c r="Z97" s="5">
        <f t="shared" si="6"/>
        <v>5</v>
      </c>
    </row>
    <row r="98" ht="12.75" customHeight="1">
      <c r="A98" s="5" t="s">
        <v>58</v>
      </c>
      <c r="B98" s="6" t="s">
        <v>93</v>
      </c>
      <c r="C98" s="6" t="s">
        <v>64</v>
      </c>
      <c r="D98" s="6" t="s">
        <v>94</v>
      </c>
      <c r="E98" s="7" t="s">
        <v>7</v>
      </c>
      <c r="F98" s="10">
        <v>5.0</v>
      </c>
      <c r="G98" s="11">
        <v>5.0</v>
      </c>
      <c r="H98" s="10">
        <v>5.0</v>
      </c>
      <c r="I98" s="11">
        <v>5.0</v>
      </c>
      <c r="J98" s="10">
        <v>4.0</v>
      </c>
      <c r="K98" s="11">
        <v>5.0</v>
      </c>
      <c r="L98" s="10">
        <v>5.0</v>
      </c>
      <c r="M98" s="11">
        <v>4.0</v>
      </c>
      <c r="N98" s="10">
        <v>5.0</v>
      </c>
      <c r="O98" s="11">
        <v>5.0</v>
      </c>
      <c r="P98" s="10">
        <v>4.0</v>
      </c>
      <c r="Q98" s="11">
        <v>4.0</v>
      </c>
      <c r="R98" s="10">
        <v>5.0</v>
      </c>
      <c r="S98" s="11">
        <v>5.0</v>
      </c>
      <c r="T98" s="11">
        <v>5.0</v>
      </c>
      <c r="U98" s="5">
        <f t="shared" si="1"/>
        <v>71</v>
      </c>
      <c r="V98" s="14">
        <f t="shared" si="2"/>
        <v>4.733333333</v>
      </c>
      <c r="W98" s="14">
        <f t="shared" si="3"/>
        <v>0.4577377082</v>
      </c>
      <c r="X98" s="5">
        <f t="shared" si="4"/>
        <v>5</v>
      </c>
      <c r="Y98" s="5">
        <f t="shared" si="5"/>
        <v>4</v>
      </c>
      <c r="Z98" s="5">
        <f t="shared" si="6"/>
        <v>5</v>
      </c>
    </row>
    <row r="99" ht="12.75" customHeight="1">
      <c r="A99" s="5" t="s">
        <v>58</v>
      </c>
      <c r="B99" s="6" t="s">
        <v>93</v>
      </c>
      <c r="C99" s="6" t="s">
        <v>65</v>
      </c>
      <c r="D99" s="6" t="s">
        <v>94</v>
      </c>
      <c r="E99" s="7" t="s">
        <v>8</v>
      </c>
      <c r="F99" s="10">
        <v>3.0</v>
      </c>
      <c r="G99" s="11">
        <v>5.0</v>
      </c>
      <c r="H99" s="10">
        <v>5.0</v>
      </c>
      <c r="I99" s="11">
        <v>5.0</v>
      </c>
      <c r="J99" s="10">
        <v>3.0</v>
      </c>
      <c r="K99" s="11">
        <v>4.0</v>
      </c>
      <c r="L99" s="10">
        <v>4.0</v>
      </c>
      <c r="M99" s="11">
        <v>4.0</v>
      </c>
      <c r="N99" s="10">
        <v>5.0</v>
      </c>
      <c r="O99" s="11">
        <v>4.0</v>
      </c>
      <c r="P99" s="10">
        <v>4.0</v>
      </c>
      <c r="Q99" s="11">
        <v>3.0</v>
      </c>
      <c r="R99" s="10">
        <v>5.0</v>
      </c>
      <c r="S99" s="11">
        <v>4.0</v>
      </c>
      <c r="T99" s="11">
        <v>5.0</v>
      </c>
      <c r="U99" s="5">
        <f t="shared" si="1"/>
        <v>63</v>
      </c>
      <c r="V99" s="14">
        <f t="shared" si="2"/>
        <v>4.2</v>
      </c>
      <c r="W99" s="14">
        <f t="shared" si="3"/>
        <v>0.7745966692</v>
      </c>
      <c r="X99" s="5">
        <f t="shared" si="4"/>
        <v>4</v>
      </c>
      <c r="Y99" s="5">
        <f t="shared" si="5"/>
        <v>3</v>
      </c>
      <c r="Z99" s="5">
        <f t="shared" si="6"/>
        <v>5</v>
      </c>
    </row>
    <row r="100" ht="12.75" customHeight="1">
      <c r="A100" s="6" t="s">
        <v>66</v>
      </c>
      <c r="B100" s="6" t="s">
        <v>93</v>
      </c>
      <c r="C100" s="6" t="s">
        <v>67</v>
      </c>
      <c r="D100" s="6" t="s">
        <v>94</v>
      </c>
      <c r="E100" s="7" t="s">
        <v>68</v>
      </c>
      <c r="F100" s="10">
        <v>5.0</v>
      </c>
      <c r="G100" s="11">
        <v>5.0</v>
      </c>
      <c r="H100" s="10">
        <v>5.0</v>
      </c>
      <c r="I100" s="11">
        <v>5.0</v>
      </c>
      <c r="J100" s="10">
        <v>3.0</v>
      </c>
      <c r="K100" s="11">
        <v>4.0</v>
      </c>
      <c r="L100" s="10">
        <v>5.0</v>
      </c>
      <c r="M100" s="11">
        <v>4.0</v>
      </c>
      <c r="N100" s="10">
        <v>5.0</v>
      </c>
      <c r="O100" s="11">
        <v>5.0</v>
      </c>
      <c r="P100" s="10">
        <v>4.0</v>
      </c>
      <c r="Q100" s="11">
        <v>3.0</v>
      </c>
      <c r="R100" s="10">
        <v>5.0</v>
      </c>
      <c r="S100" s="11">
        <v>5.0</v>
      </c>
      <c r="T100" s="11">
        <v>5.0</v>
      </c>
      <c r="U100" s="5">
        <f t="shared" si="1"/>
        <v>68</v>
      </c>
      <c r="V100" s="14">
        <f t="shared" si="2"/>
        <v>4.533333333</v>
      </c>
      <c r="W100" s="14">
        <f t="shared" si="3"/>
        <v>0.743223353</v>
      </c>
      <c r="X100" s="5">
        <f t="shared" si="4"/>
        <v>5</v>
      </c>
      <c r="Y100" s="5">
        <f t="shared" si="5"/>
        <v>3</v>
      </c>
      <c r="Z100" s="5">
        <f t="shared" si="6"/>
        <v>5</v>
      </c>
    </row>
    <row r="101" ht="12.75" customHeight="1">
      <c r="A101" s="6" t="s">
        <v>66</v>
      </c>
      <c r="B101" s="6" t="s">
        <v>93</v>
      </c>
      <c r="C101" s="6" t="s">
        <v>69</v>
      </c>
      <c r="D101" s="6" t="s">
        <v>94</v>
      </c>
      <c r="E101" s="7" t="s">
        <v>70</v>
      </c>
      <c r="F101" s="10">
        <v>4.0</v>
      </c>
      <c r="G101" s="11">
        <v>5.0</v>
      </c>
      <c r="H101" s="10">
        <v>5.0</v>
      </c>
      <c r="I101" s="11">
        <v>5.0</v>
      </c>
      <c r="J101" s="10">
        <v>4.0</v>
      </c>
      <c r="K101" s="11">
        <v>4.0</v>
      </c>
      <c r="L101" s="10">
        <v>5.0</v>
      </c>
      <c r="M101" s="11">
        <v>4.0</v>
      </c>
      <c r="N101" s="10">
        <v>5.0</v>
      </c>
      <c r="O101" s="11">
        <v>5.0</v>
      </c>
      <c r="P101" s="10">
        <v>4.0</v>
      </c>
      <c r="Q101" s="11">
        <v>3.0</v>
      </c>
      <c r="R101" s="10">
        <v>5.0</v>
      </c>
      <c r="S101" s="11">
        <v>5.0</v>
      </c>
      <c r="T101" s="11">
        <v>5.0</v>
      </c>
      <c r="U101" s="5">
        <f t="shared" si="1"/>
        <v>68</v>
      </c>
      <c r="V101" s="14">
        <f t="shared" si="2"/>
        <v>4.533333333</v>
      </c>
      <c r="W101" s="14">
        <f t="shared" si="3"/>
        <v>0.6399404734</v>
      </c>
      <c r="X101" s="5">
        <f t="shared" si="4"/>
        <v>5</v>
      </c>
      <c r="Y101" s="5">
        <f t="shared" si="5"/>
        <v>3</v>
      </c>
      <c r="Z101" s="5">
        <f t="shared" si="6"/>
        <v>5</v>
      </c>
    </row>
    <row r="102" ht="12.75" customHeight="1">
      <c r="A102" s="6" t="s">
        <v>66</v>
      </c>
      <c r="B102" s="6" t="s">
        <v>93</v>
      </c>
      <c r="C102" s="6" t="s">
        <v>71</v>
      </c>
      <c r="D102" s="6" t="s">
        <v>94</v>
      </c>
      <c r="E102" s="7" t="s">
        <v>72</v>
      </c>
      <c r="F102" s="10">
        <v>5.0</v>
      </c>
      <c r="G102" s="11">
        <v>5.0</v>
      </c>
      <c r="H102" s="10">
        <v>5.0</v>
      </c>
      <c r="I102" s="11">
        <v>5.0</v>
      </c>
      <c r="J102" s="10">
        <v>3.0</v>
      </c>
      <c r="K102" s="11">
        <v>4.0</v>
      </c>
      <c r="L102" s="10">
        <v>5.0</v>
      </c>
      <c r="M102" s="11">
        <v>5.0</v>
      </c>
      <c r="N102" s="10">
        <v>5.0</v>
      </c>
      <c r="O102" s="11">
        <v>4.0</v>
      </c>
      <c r="P102" s="10">
        <v>4.0</v>
      </c>
      <c r="Q102" s="11">
        <v>3.0</v>
      </c>
      <c r="R102" s="10">
        <v>5.0</v>
      </c>
      <c r="S102" s="11">
        <v>5.0</v>
      </c>
      <c r="T102" s="11">
        <v>5.0</v>
      </c>
      <c r="U102" s="5">
        <f t="shared" si="1"/>
        <v>68</v>
      </c>
      <c r="V102" s="14">
        <f t="shared" si="2"/>
        <v>4.533333333</v>
      </c>
      <c r="W102" s="14">
        <f t="shared" si="3"/>
        <v>0.743223353</v>
      </c>
      <c r="X102" s="5">
        <f t="shared" si="4"/>
        <v>5</v>
      </c>
      <c r="Y102" s="5">
        <f t="shared" si="5"/>
        <v>3</v>
      </c>
      <c r="Z102" s="5">
        <f t="shared" si="6"/>
        <v>5</v>
      </c>
    </row>
    <row r="103" ht="12.75" customHeight="1">
      <c r="A103" s="6" t="s">
        <v>66</v>
      </c>
      <c r="B103" s="6" t="s">
        <v>93</v>
      </c>
      <c r="C103" s="6" t="s">
        <v>73</v>
      </c>
      <c r="D103" s="6" t="s">
        <v>94</v>
      </c>
      <c r="E103" s="7" t="s">
        <v>74</v>
      </c>
      <c r="F103" s="10">
        <v>3.0</v>
      </c>
      <c r="G103" s="11">
        <v>5.0</v>
      </c>
      <c r="H103" s="10">
        <v>5.0</v>
      </c>
      <c r="I103" s="11">
        <v>5.0</v>
      </c>
      <c r="J103" s="10">
        <v>4.0</v>
      </c>
      <c r="K103" s="11">
        <v>3.0</v>
      </c>
      <c r="L103" s="10">
        <v>4.0</v>
      </c>
      <c r="M103" s="11">
        <v>3.0</v>
      </c>
      <c r="N103" s="10">
        <v>4.0</v>
      </c>
      <c r="O103" s="11">
        <v>4.0</v>
      </c>
      <c r="P103" s="10">
        <v>4.0</v>
      </c>
      <c r="Q103" s="11">
        <v>4.0</v>
      </c>
      <c r="R103" s="10">
        <v>5.0</v>
      </c>
      <c r="S103" s="11">
        <v>4.0</v>
      </c>
      <c r="T103" s="11">
        <v>5.0</v>
      </c>
      <c r="U103" s="5">
        <f t="shared" si="1"/>
        <v>62</v>
      </c>
      <c r="V103" s="14">
        <f t="shared" si="2"/>
        <v>4.133333333</v>
      </c>
      <c r="W103" s="14">
        <f t="shared" si="3"/>
        <v>0.743223353</v>
      </c>
      <c r="X103" s="5">
        <f t="shared" si="4"/>
        <v>4</v>
      </c>
      <c r="Y103" s="5">
        <f t="shared" si="5"/>
        <v>3</v>
      </c>
      <c r="Z103" s="5">
        <f t="shared" si="6"/>
        <v>5</v>
      </c>
    </row>
    <row r="104" ht="12.75" customHeight="1">
      <c r="A104" s="6" t="s">
        <v>66</v>
      </c>
      <c r="B104" s="6" t="s">
        <v>93</v>
      </c>
      <c r="C104" s="6" t="s">
        <v>75</v>
      </c>
      <c r="D104" s="6" t="s">
        <v>94</v>
      </c>
      <c r="E104" s="7" t="s">
        <v>76</v>
      </c>
      <c r="F104" s="10">
        <v>4.0</v>
      </c>
      <c r="G104" s="11">
        <v>5.0</v>
      </c>
      <c r="H104" s="10">
        <v>5.0</v>
      </c>
      <c r="I104" s="11">
        <v>5.0</v>
      </c>
      <c r="J104" s="10">
        <v>4.0</v>
      </c>
      <c r="K104" s="11">
        <v>4.0</v>
      </c>
      <c r="L104" s="10">
        <v>4.0</v>
      </c>
      <c r="M104" s="11">
        <v>3.0</v>
      </c>
      <c r="N104" s="10">
        <v>4.0</v>
      </c>
      <c r="O104" s="11">
        <v>4.0</v>
      </c>
      <c r="P104" s="10">
        <v>4.0</v>
      </c>
      <c r="Q104" s="11">
        <v>3.0</v>
      </c>
      <c r="R104" s="10">
        <v>5.0</v>
      </c>
      <c r="S104" s="11">
        <v>4.0</v>
      </c>
      <c r="T104" s="11">
        <v>5.0</v>
      </c>
      <c r="U104" s="5">
        <f t="shared" si="1"/>
        <v>63</v>
      </c>
      <c r="V104" s="14">
        <f t="shared" si="2"/>
        <v>4.2</v>
      </c>
      <c r="W104" s="14">
        <f t="shared" si="3"/>
        <v>0.6761234038</v>
      </c>
      <c r="X104" s="5">
        <f t="shared" si="4"/>
        <v>4</v>
      </c>
      <c r="Y104" s="5">
        <f t="shared" si="5"/>
        <v>3</v>
      </c>
      <c r="Z104" s="5">
        <f t="shared" si="6"/>
        <v>5</v>
      </c>
    </row>
    <row r="105" ht="12.75" customHeight="1">
      <c r="A105" s="5" t="s">
        <v>58</v>
      </c>
      <c r="B105" s="6" t="s">
        <v>95</v>
      </c>
      <c r="C105" s="6" t="s">
        <v>60</v>
      </c>
      <c r="D105" s="6" t="s">
        <v>96</v>
      </c>
      <c r="E105" s="7" t="s">
        <v>4</v>
      </c>
      <c r="F105" s="10">
        <v>5.0</v>
      </c>
      <c r="G105" s="11">
        <v>5.0</v>
      </c>
      <c r="H105" s="10">
        <v>5.0</v>
      </c>
      <c r="I105" s="11">
        <v>3.0</v>
      </c>
      <c r="J105" s="10">
        <v>4.0</v>
      </c>
      <c r="K105" s="11">
        <v>4.0</v>
      </c>
      <c r="L105" s="10">
        <v>5.0</v>
      </c>
      <c r="M105" s="11">
        <v>5.0</v>
      </c>
      <c r="N105" s="10">
        <v>5.0</v>
      </c>
      <c r="O105" s="11">
        <v>5.0</v>
      </c>
      <c r="P105" s="10">
        <v>4.0</v>
      </c>
      <c r="Q105" s="11">
        <v>3.0</v>
      </c>
      <c r="R105" s="10">
        <v>5.0</v>
      </c>
      <c r="S105" s="11">
        <v>5.0</v>
      </c>
      <c r="T105" s="11">
        <v>5.0</v>
      </c>
      <c r="U105" s="5">
        <f t="shared" si="1"/>
        <v>68</v>
      </c>
      <c r="V105" s="14">
        <f t="shared" si="2"/>
        <v>4.533333333</v>
      </c>
      <c r="W105" s="14">
        <f t="shared" si="3"/>
        <v>0.743223353</v>
      </c>
      <c r="X105" s="5">
        <f t="shared" si="4"/>
        <v>5</v>
      </c>
      <c r="Y105" s="5">
        <f t="shared" si="5"/>
        <v>3</v>
      </c>
      <c r="Z105" s="5">
        <f t="shared" si="6"/>
        <v>5</v>
      </c>
    </row>
    <row r="106" ht="12.75" customHeight="1">
      <c r="A106" s="5" t="s">
        <v>58</v>
      </c>
      <c r="B106" s="6" t="s">
        <v>95</v>
      </c>
      <c r="C106" s="6" t="s">
        <v>62</v>
      </c>
      <c r="D106" s="6" t="s">
        <v>96</v>
      </c>
      <c r="E106" s="7" t="s">
        <v>5</v>
      </c>
      <c r="F106" s="10">
        <v>5.0</v>
      </c>
      <c r="G106" s="11">
        <v>5.0</v>
      </c>
      <c r="H106" s="10">
        <v>5.0</v>
      </c>
      <c r="I106" s="11">
        <v>2.0</v>
      </c>
      <c r="J106" s="10">
        <v>4.0</v>
      </c>
      <c r="K106" s="11">
        <v>4.0</v>
      </c>
      <c r="L106" s="10">
        <v>5.0</v>
      </c>
      <c r="M106" s="11">
        <v>5.0</v>
      </c>
      <c r="N106" s="10">
        <v>5.0</v>
      </c>
      <c r="O106" s="11">
        <v>4.0</v>
      </c>
      <c r="P106" s="10">
        <v>4.0</v>
      </c>
      <c r="Q106" s="11">
        <v>3.0</v>
      </c>
      <c r="R106" s="10">
        <v>5.0</v>
      </c>
      <c r="S106" s="11">
        <v>4.0</v>
      </c>
      <c r="T106" s="11">
        <v>5.0</v>
      </c>
      <c r="U106" s="5">
        <f t="shared" si="1"/>
        <v>65</v>
      </c>
      <c r="V106" s="14">
        <f t="shared" si="2"/>
        <v>4.333333333</v>
      </c>
      <c r="W106" s="14">
        <f t="shared" si="3"/>
        <v>0.8997354108</v>
      </c>
      <c r="X106" s="5">
        <f t="shared" si="4"/>
        <v>5</v>
      </c>
      <c r="Y106" s="5">
        <f t="shared" si="5"/>
        <v>2</v>
      </c>
      <c r="Z106" s="5">
        <f t="shared" si="6"/>
        <v>5</v>
      </c>
    </row>
    <row r="107" ht="12.75" customHeight="1">
      <c r="A107" s="5" t="s">
        <v>58</v>
      </c>
      <c r="B107" s="6" t="s">
        <v>95</v>
      </c>
      <c r="C107" s="6" t="s">
        <v>63</v>
      </c>
      <c r="D107" s="6" t="s">
        <v>96</v>
      </c>
      <c r="E107" s="7" t="s">
        <v>6</v>
      </c>
      <c r="F107" s="10">
        <v>5.0</v>
      </c>
      <c r="G107" s="11">
        <v>5.0</v>
      </c>
      <c r="H107" s="10">
        <v>5.0</v>
      </c>
      <c r="I107" s="11">
        <v>5.0</v>
      </c>
      <c r="J107" s="10">
        <v>3.0</v>
      </c>
      <c r="K107" s="11">
        <v>4.0</v>
      </c>
      <c r="L107" s="10">
        <v>5.0</v>
      </c>
      <c r="M107" s="11">
        <v>4.0</v>
      </c>
      <c r="N107" s="10">
        <v>5.0</v>
      </c>
      <c r="O107" s="11">
        <v>4.0</v>
      </c>
      <c r="P107" s="10">
        <v>4.0</v>
      </c>
      <c r="Q107" s="11">
        <v>3.0</v>
      </c>
      <c r="R107" s="10">
        <v>5.0</v>
      </c>
      <c r="S107" s="11">
        <v>5.0</v>
      </c>
      <c r="T107" s="11">
        <v>5.0</v>
      </c>
      <c r="U107" s="5">
        <f t="shared" si="1"/>
        <v>67</v>
      </c>
      <c r="V107" s="14">
        <f t="shared" si="2"/>
        <v>4.466666667</v>
      </c>
      <c r="W107" s="14">
        <f t="shared" si="3"/>
        <v>0.743223353</v>
      </c>
      <c r="X107" s="5">
        <f t="shared" si="4"/>
        <v>5</v>
      </c>
      <c r="Y107" s="5">
        <f t="shared" si="5"/>
        <v>3</v>
      </c>
      <c r="Z107" s="5">
        <f t="shared" si="6"/>
        <v>5</v>
      </c>
    </row>
    <row r="108" ht="12.75" customHeight="1">
      <c r="A108" s="5" t="s">
        <v>58</v>
      </c>
      <c r="B108" s="6" t="s">
        <v>95</v>
      </c>
      <c r="C108" s="6" t="s">
        <v>64</v>
      </c>
      <c r="D108" s="6" t="s">
        <v>96</v>
      </c>
      <c r="E108" s="7" t="s">
        <v>7</v>
      </c>
      <c r="F108" s="10">
        <v>5.0</v>
      </c>
      <c r="G108" s="11">
        <v>5.0</v>
      </c>
      <c r="H108" s="10">
        <v>5.0</v>
      </c>
      <c r="I108" s="11">
        <v>5.0</v>
      </c>
      <c r="J108" s="10">
        <v>3.0</v>
      </c>
      <c r="K108" s="11">
        <v>4.0</v>
      </c>
      <c r="L108" s="10">
        <v>5.0</v>
      </c>
      <c r="M108" s="11">
        <v>3.0</v>
      </c>
      <c r="N108" s="10">
        <v>5.0</v>
      </c>
      <c r="O108" s="11">
        <v>4.0</v>
      </c>
      <c r="P108" s="10">
        <v>4.0</v>
      </c>
      <c r="Q108" s="11">
        <v>4.0</v>
      </c>
      <c r="R108" s="10">
        <v>5.0</v>
      </c>
      <c r="S108" s="11">
        <v>4.0</v>
      </c>
      <c r="T108" s="11">
        <v>5.0</v>
      </c>
      <c r="U108" s="5">
        <f t="shared" si="1"/>
        <v>66</v>
      </c>
      <c r="V108" s="14">
        <f t="shared" si="2"/>
        <v>4.4</v>
      </c>
      <c r="W108" s="14">
        <f t="shared" si="3"/>
        <v>0.7367883976</v>
      </c>
      <c r="X108" s="5">
        <f t="shared" si="4"/>
        <v>5</v>
      </c>
      <c r="Y108" s="5">
        <f t="shared" si="5"/>
        <v>3</v>
      </c>
      <c r="Z108" s="5">
        <f t="shared" si="6"/>
        <v>5</v>
      </c>
    </row>
    <row r="109" ht="12.75" customHeight="1">
      <c r="A109" s="5" t="s">
        <v>58</v>
      </c>
      <c r="B109" s="6" t="s">
        <v>95</v>
      </c>
      <c r="C109" s="6" t="s">
        <v>65</v>
      </c>
      <c r="D109" s="6" t="s">
        <v>96</v>
      </c>
      <c r="E109" s="7" t="s">
        <v>8</v>
      </c>
      <c r="F109" s="10">
        <v>5.0</v>
      </c>
      <c r="G109" s="11">
        <v>5.0</v>
      </c>
      <c r="H109" s="10">
        <v>4.0</v>
      </c>
      <c r="I109" s="11">
        <v>2.0</v>
      </c>
      <c r="J109" s="10">
        <v>4.0</v>
      </c>
      <c r="K109" s="11">
        <v>4.0</v>
      </c>
      <c r="L109" s="10">
        <v>4.0</v>
      </c>
      <c r="M109" s="11">
        <v>3.0</v>
      </c>
      <c r="N109" s="10">
        <v>5.0</v>
      </c>
      <c r="O109" s="11">
        <v>5.0</v>
      </c>
      <c r="P109" s="10">
        <v>4.0</v>
      </c>
      <c r="Q109" s="11">
        <v>4.0</v>
      </c>
      <c r="R109" s="10">
        <v>5.0</v>
      </c>
      <c r="S109" s="11">
        <v>4.0</v>
      </c>
      <c r="T109" s="11">
        <v>5.0</v>
      </c>
      <c r="U109" s="5">
        <f t="shared" si="1"/>
        <v>63</v>
      </c>
      <c r="V109" s="14">
        <f t="shared" si="2"/>
        <v>4.2</v>
      </c>
      <c r="W109" s="14">
        <f t="shared" si="3"/>
        <v>0.8618916074</v>
      </c>
      <c r="X109" s="5">
        <f t="shared" si="4"/>
        <v>4</v>
      </c>
      <c r="Y109" s="5">
        <f t="shared" si="5"/>
        <v>2</v>
      </c>
      <c r="Z109" s="5">
        <f t="shared" si="6"/>
        <v>5</v>
      </c>
    </row>
    <row r="110" ht="12.75" customHeight="1">
      <c r="A110" s="6" t="s">
        <v>66</v>
      </c>
      <c r="B110" s="6" t="s">
        <v>95</v>
      </c>
      <c r="C110" s="6" t="s">
        <v>67</v>
      </c>
      <c r="D110" s="6" t="s">
        <v>96</v>
      </c>
      <c r="E110" s="7" t="s">
        <v>68</v>
      </c>
      <c r="F110" s="10">
        <v>5.0</v>
      </c>
      <c r="G110" s="11">
        <v>5.0</v>
      </c>
      <c r="H110" s="10">
        <v>5.0</v>
      </c>
      <c r="I110" s="11">
        <v>5.0</v>
      </c>
      <c r="J110" s="10">
        <v>3.0</v>
      </c>
      <c r="K110" s="11">
        <v>4.0</v>
      </c>
      <c r="L110" s="10">
        <v>5.0</v>
      </c>
      <c r="M110" s="11">
        <v>5.0</v>
      </c>
      <c r="N110" s="10">
        <v>5.0</v>
      </c>
      <c r="O110" s="11">
        <v>5.0</v>
      </c>
      <c r="P110" s="10">
        <v>4.0</v>
      </c>
      <c r="Q110" s="11">
        <v>4.0</v>
      </c>
      <c r="R110" s="10">
        <v>5.0</v>
      </c>
      <c r="S110" s="11">
        <v>4.0</v>
      </c>
      <c r="T110" s="11">
        <v>5.0</v>
      </c>
      <c r="U110" s="5">
        <f t="shared" si="1"/>
        <v>69</v>
      </c>
      <c r="V110" s="14">
        <f t="shared" si="2"/>
        <v>4.6</v>
      </c>
      <c r="W110" s="14">
        <f t="shared" si="3"/>
        <v>0.632455532</v>
      </c>
      <c r="X110" s="5">
        <f t="shared" si="4"/>
        <v>5</v>
      </c>
      <c r="Y110" s="5">
        <f t="shared" si="5"/>
        <v>3</v>
      </c>
      <c r="Z110" s="5">
        <f t="shared" si="6"/>
        <v>5</v>
      </c>
    </row>
    <row r="111" ht="12.75" customHeight="1">
      <c r="A111" s="6" t="s">
        <v>66</v>
      </c>
      <c r="B111" s="6" t="s">
        <v>95</v>
      </c>
      <c r="C111" s="6" t="s">
        <v>69</v>
      </c>
      <c r="D111" s="6" t="s">
        <v>96</v>
      </c>
      <c r="E111" s="7" t="s">
        <v>70</v>
      </c>
      <c r="F111" s="10">
        <v>5.0</v>
      </c>
      <c r="G111" s="11">
        <v>5.0</v>
      </c>
      <c r="H111" s="10">
        <v>5.0</v>
      </c>
      <c r="I111" s="11">
        <v>3.0</v>
      </c>
      <c r="J111" s="10">
        <v>4.0</v>
      </c>
      <c r="K111" s="11">
        <v>3.0</v>
      </c>
      <c r="L111" s="10">
        <v>5.0</v>
      </c>
      <c r="M111" s="11">
        <v>5.0</v>
      </c>
      <c r="N111" s="10">
        <v>5.0</v>
      </c>
      <c r="O111" s="11">
        <v>4.0</v>
      </c>
      <c r="P111" s="10">
        <v>4.0</v>
      </c>
      <c r="Q111" s="11">
        <v>3.0</v>
      </c>
      <c r="R111" s="10">
        <v>3.0</v>
      </c>
      <c r="S111" s="11">
        <v>5.0</v>
      </c>
      <c r="T111" s="11">
        <v>5.0</v>
      </c>
      <c r="U111" s="5">
        <f t="shared" si="1"/>
        <v>64</v>
      </c>
      <c r="V111" s="14">
        <f t="shared" si="2"/>
        <v>4.266666667</v>
      </c>
      <c r="W111" s="14">
        <f t="shared" si="3"/>
        <v>0.8837151017</v>
      </c>
      <c r="X111" s="5">
        <f t="shared" si="4"/>
        <v>5</v>
      </c>
      <c r="Y111" s="5">
        <f t="shared" si="5"/>
        <v>3</v>
      </c>
      <c r="Z111" s="5">
        <f t="shared" si="6"/>
        <v>5</v>
      </c>
    </row>
    <row r="112" ht="12.75" customHeight="1">
      <c r="A112" s="6" t="s">
        <v>66</v>
      </c>
      <c r="B112" s="6" t="s">
        <v>95</v>
      </c>
      <c r="C112" s="6" t="s">
        <v>71</v>
      </c>
      <c r="D112" s="6" t="s">
        <v>96</v>
      </c>
      <c r="E112" s="7" t="s">
        <v>72</v>
      </c>
      <c r="F112" s="10">
        <v>5.0</v>
      </c>
      <c r="G112" s="11">
        <v>4.0</v>
      </c>
      <c r="H112" s="10">
        <v>5.0</v>
      </c>
      <c r="I112" s="11">
        <v>3.0</v>
      </c>
      <c r="J112" s="10">
        <v>3.0</v>
      </c>
      <c r="K112" s="11">
        <v>2.0</v>
      </c>
      <c r="L112" s="10">
        <v>5.0</v>
      </c>
      <c r="M112" s="11">
        <v>5.0</v>
      </c>
      <c r="N112" s="10">
        <v>5.0</v>
      </c>
      <c r="O112" s="11">
        <v>4.0</v>
      </c>
      <c r="P112" s="10">
        <v>4.0</v>
      </c>
      <c r="Q112" s="11">
        <v>4.0</v>
      </c>
      <c r="R112" s="10">
        <v>5.0</v>
      </c>
      <c r="S112" s="11">
        <v>5.0</v>
      </c>
      <c r="T112" s="11">
        <v>5.0</v>
      </c>
      <c r="U112" s="5">
        <f t="shared" si="1"/>
        <v>64</v>
      </c>
      <c r="V112" s="14">
        <f t="shared" si="2"/>
        <v>4.266666667</v>
      </c>
      <c r="W112" s="14">
        <f t="shared" si="3"/>
        <v>0.9611501047</v>
      </c>
      <c r="X112" s="5">
        <f t="shared" si="4"/>
        <v>5</v>
      </c>
      <c r="Y112" s="5">
        <f t="shared" si="5"/>
        <v>2</v>
      </c>
      <c r="Z112" s="5">
        <f t="shared" si="6"/>
        <v>5</v>
      </c>
    </row>
    <row r="113" ht="12.75" customHeight="1">
      <c r="A113" s="6" t="s">
        <v>66</v>
      </c>
      <c r="B113" s="6" t="s">
        <v>95</v>
      </c>
      <c r="C113" s="6" t="s">
        <v>73</v>
      </c>
      <c r="D113" s="6" t="s">
        <v>96</v>
      </c>
      <c r="E113" s="7" t="s">
        <v>74</v>
      </c>
      <c r="F113" s="10">
        <v>5.0</v>
      </c>
      <c r="G113" s="11">
        <v>5.0</v>
      </c>
      <c r="H113" s="10">
        <v>4.0</v>
      </c>
      <c r="I113" s="11">
        <v>2.0</v>
      </c>
      <c r="J113" s="10">
        <v>4.0</v>
      </c>
      <c r="K113" s="11">
        <v>4.0</v>
      </c>
      <c r="L113" s="10">
        <v>4.0</v>
      </c>
      <c r="M113" s="11">
        <v>3.0</v>
      </c>
      <c r="N113" s="10">
        <v>5.0</v>
      </c>
      <c r="O113" s="11">
        <v>4.0</v>
      </c>
      <c r="P113" s="10">
        <v>4.0</v>
      </c>
      <c r="Q113" s="11">
        <v>3.0</v>
      </c>
      <c r="R113" s="10">
        <v>3.0</v>
      </c>
      <c r="S113" s="11">
        <v>4.0</v>
      </c>
      <c r="T113" s="11">
        <v>5.0</v>
      </c>
      <c r="U113" s="5">
        <f t="shared" si="1"/>
        <v>59</v>
      </c>
      <c r="V113" s="14">
        <f t="shared" si="2"/>
        <v>3.933333333</v>
      </c>
      <c r="W113" s="14">
        <f t="shared" si="3"/>
        <v>0.8837151017</v>
      </c>
      <c r="X113" s="5">
        <f t="shared" si="4"/>
        <v>4</v>
      </c>
      <c r="Y113" s="5">
        <f t="shared" si="5"/>
        <v>2</v>
      </c>
      <c r="Z113" s="5">
        <f t="shared" si="6"/>
        <v>5</v>
      </c>
    </row>
    <row r="114" ht="12.75" customHeight="1">
      <c r="A114" s="6" t="s">
        <v>66</v>
      </c>
      <c r="B114" s="6" t="s">
        <v>95</v>
      </c>
      <c r="C114" s="6" t="s">
        <v>75</v>
      </c>
      <c r="D114" s="6" t="s">
        <v>96</v>
      </c>
      <c r="E114" s="7" t="s">
        <v>76</v>
      </c>
      <c r="F114" s="15">
        <v>5.0</v>
      </c>
      <c r="G114" s="16">
        <v>5.0</v>
      </c>
      <c r="H114" s="15">
        <v>5.0</v>
      </c>
      <c r="I114" s="16">
        <v>5.0</v>
      </c>
      <c r="J114" s="15">
        <v>4.0</v>
      </c>
      <c r="K114" s="16">
        <v>4.0</v>
      </c>
      <c r="L114" s="15">
        <v>4.0</v>
      </c>
      <c r="M114" s="16">
        <v>3.0</v>
      </c>
      <c r="N114" s="15">
        <v>5.0</v>
      </c>
      <c r="O114" s="16">
        <v>4.0</v>
      </c>
      <c r="P114" s="15">
        <v>4.0</v>
      </c>
      <c r="Q114" s="16">
        <v>3.0</v>
      </c>
      <c r="R114" s="15">
        <v>3.0</v>
      </c>
      <c r="S114" s="16">
        <v>4.0</v>
      </c>
      <c r="T114" s="16">
        <v>5.0</v>
      </c>
      <c r="U114" s="5">
        <f t="shared" si="1"/>
        <v>63</v>
      </c>
      <c r="V114" s="14">
        <f t="shared" si="2"/>
        <v>4.2</v>
      </c>
      <c r="W114" s="14">
        <f t="shared" si="3"/>
        <v>0.7745966692</v>
      </c>
      <c r="X114" s="5">
        <f t="shared" si="4"/>
        <v>4</v>
      </c>
      <c r="Y114" s="5">
        <f t="shared" si="5"/>
        <v>3</v>
      </c>
      <c r="Z114" s="5">
        <f t="shared" si="6"/>
        <v>5</v>
      </c>
    </row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autoFilter ref="$A$1:$T$114"/>
  <mergeCells count="6">
    <mergeCell ref="U1:U4"/>
    <mergeCell ref="V1:V4"/>
    <mergeCell ref="W1:W4"/>
    <mergeCell ref="X1:X4"/>
    <mergeCell ref="Y1:Y4"/>
    <mergeCell ref="Z1:Z4"/>
  </mergeCells>
  <printOptions/>
  <pageMargins bottom="0.787401575" footer="0.0" header="0.0" left="0.511811024" right="0.511811024" top="0.7874015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9.63"/>
    <col customWidth="1" min="2" max="2" width="14.38"/>
    <col customWidth="1" min="3" max="3" width="21.5"/>
    <col customWidth="1" min="4" max="4" width="16.38"/>
    <col customWidth="1" min="5" max="5" width="13.88"/>
    <col customWidth="1" min="6" max="6" width="15.0"/>
    <col customWidth="1" min="7" max="26" width="8.63"/>
  </cols>
  <sheetData>
    <row r="1" ht="12.75" customHeight="1"/>
    <row r="2" ht="12.75" customHeight="1">
      <c r="A2" s="17" t="s">
        <v>97</v>
      </c>
      <c r="B2" s="17" t="s">
        <v>98</v>
      </c>
      <c r="C2" s="18" t="s">
        <v>99</v>
      </c>
      <c r="D2" s="18" t="s">
        <v>100</v>
      </c>
      <c r="E2" s="18" t="s">
        <v>101</v>
      </c>
      <c r="F2" s="19" t="s">
        <v>102</v>
      </c>
    </row>
    <row r="3" ht="12.75" customHeight="1">
      <c r="A3" s="20" t="s">
        <v>67</v>
      </c>
      <c r="B3" s="21">
        <v>4.466666666666667</v>
      </c>
      <c r="C3" s="22">
        <v>0.6981588161528486</v>
      </c>
      <c r="D3" s="23">
        <v>4.818181818181818</v>
      </c>
      <c r="E3" s="23">
        <v>2.0</v>
      </c>
      <c r="F3" s="24">
        <v>5.0</v>
      </c>
    </row>
    <row r="4" ht="12.75" customHeight="1">
      <c r="A4" s="25" t="s">
        <v>73</v>
      </c>
      <c r="B4" s="26">
        <v>4.048484848484848</v>
      </c>
      <c r="C4" s="27">
        <v>0.8716135424295071</v>
      </c>
      <c r="D4" s="28">
        <v>4.0</v>
      </c>
      <c r="E4" s="28">
        <v>1.0</v>
      </c>
      <c r="F4" s="29">
        <v>5.0</v>
      </c>
    </row>
    <row r="5" ht="12.75" customHeight="1">
      <c r="A5" s="25" t="s">
        <v>65</v>
      </c>
      <c r="B5" s="26">
        <v>4.218181818181819</v>
      </c>
      <c r="C5" s="27">
        <v>0.7997549068792751</v>
      </c>
      <c r="D5" s="28">
        <v>4.272727272727272</v>
      </c>
      <c r="E5" s="28">
        <v>2.0</v>
      </c>
      <c r="F5" s="29">
        <v>5.0</v>
      </c>
    </row>
    <row r="6" ht="12.75" customHeight="1">
      <c r="A6" s="25" t="s">
        <v>64</v>
      </c>
      <c r="B6" s="26">
        <v>4.254545454545454</v>
      </c>
      <c r="C6" s="27">
        <v>0.7746646676193596</v>
      </c>
      <c r="D6" s="28">
        <v>4.454545454545454</v>
      </c>
      <c r="E6" s="28">
        <v>2.0</v>
      </c>
      <c r="F6" s="29">
        <v>5.0</v>
      </c>
    </row>
    <row r="7" ht="12.75" customHeight="1">
      <c r="A7" s="25" t="s">
        <v>62</v>
      </c>
      <c r="B7" s="26">
        <v>4.393939393939394</v>
      </c>
      <c r="C7" s="27">
        <v>0.7978430251908446</v>
      </c>
      <c r="D7" s="28">
        <v>4.636363636363637</v>
      </c>
      <c r="E7" s="28">
        <v>2.0</v>
      </c>
      <c r="F7" s="29">
        <v>5.0</v>
      </c>
    </row>
    <row r="8" ht="12.75" customHeight="1">
      <c r="A8" s="25" t="s">
        <v>75</v>
      </c>
      <c r="B8" s="26">
        <v>4.048484848484849</v>
      </c>
      <c r="C8" s="27">
        <v>0.94566298544725</v>
      </c>
      <c r="D8" s="28">
        <v>4.090909090909091</v>
      </c>
      <c r="E8" s="28">
        <v>1.0</v>
      </c>
      <c r="F8" s="29">
        <v>5.0</v>
      </c>
    </row>
    <row r="9" ht="12.75" customHeight="1">
      <c r="A9" s="25" t="s">
        <v>63</v>
      </c>
      <c r="B9" s="26">
        <v>4.436363636363636</v>
      </c>
      <c r="C9" s="27">
        <v>0.7604581288202497</v>
      </c>
      <c r="D9" s="28">
        <v>4.727272727272728</v>
      </c>
      <c r="E9" s="28">
        <v>2.0</v>
      </c>
      <c r="F9" s="29">
        <v>5.0</v>
      </c>
    </row>
    <row r="10" ht="12.75" customHeight="1">
      <c r="A10" s="25" t="s">
        <v>71</v>
      </c>
      <c r="B10" s="26">
        <v>4.412121212121212</v>
      </c>
      <c r="C10" s="27">
        <v>0.8069622163527121</v>
      </c>
      <c r="D10" s="28">
        <v>4.818181818181818</v>
      </c>
      <c r="E10" s="28">
        <v>2.0</v>
      </c>
      <c r="F10" s="29">
        <v>5.0</v>
      </c>
    </row>
    <row r="11" ht="12.75" customHeight="1">
      <c r="A11" s="25" t="s">
        <v>60</v>
      </c>
      <c r="B11" s="26">
        <v>4.454545454545454</v>
      </c>
      <c r="C11" s="27">
        <v>0.7401896037723692</v>
      </c>
      <c r="D11" s="28">
        <v>4.818181818181818</v>
      </c>
      <c r="E11" s="28">
        <v>2.0</v>
      </c>
      <c r="F11" s="29">
        <v>5.0</v>
      </c>
    </row>
    <row r="12" ht="12.75" customHeight="1">
      <c r="A12" s="25" t="s">
        <v>69</v>
      </c>
      <c r="B12" s="26">
        <v>4.345454545454545</v>
      </c>
      <c r="C12" s="27">
        <v>0.8256326557048733</v>
      </c>
      <c r="D12" s="28">
        <v>4.818181818181818</v>
      </c>
      <c r="E12" s="28">
        <v>1.0</v>
      </c>
      <c r="F12" s="29">
        <v>5.0</v>
      </c>
    </row>
    <row r="13" ht="12.75" customHeight="1">
      <c r="A13" s="30" t="s">
        <v>103</v>
      </c>
      <c r="B13" s="31">
        <v>4.307878787878788</v>
      </c>
      <c r="C13" s="32">
        <v>0.8020940548369285</v>
      </c>
      <c r="D13" s="33">
        <v>4.545454545454546</v>
      </c>
      <c r="E13" s="33">
        <v>1.0</v>
      </c>
      <c r="F13" s="34">
        <v>5.0</v>
      </c>
    </row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>
      <c r="A25" s="6" t="s">
        <v>104</v>
      </c>
      <c r="B25" s="6" t="s">
        <v>47</v>
      </c>
      <c r="C25" s="6" t="s">
        <v>105</v>
      </c>
      <c r="D25" s="6" t="s">
        <v>49</v>
      </c>
      <c r="E25" s="6" t="s">
        <v>50</v>
      </c>
      <c r="F25" s="6" t="s">
        <v>51</v>
      </c>
    </row>
    <row r="26" ht="12.75" customHeight="1">
      <c r="A26" s="6" t="s">
        <v>106</v>
      </c>
      <c r="B26" s="6"/>
      <c r="C26" s="6"/>
      <c r="D26" s="6"/>
      <c r="E26" s="6"/>
      <c r="F26" s="6"/>
    </row>
    <row r="27" ht="12.75" customHeight="1">
      <c r="A27" s="5" t="s">
        <v>60</v>
      </c>
      <c r="B27" s="14">
        <v>4.454545454545454</v>
      </c>
      <c r="C27" s="14">
        <v>0.7401896037723692</v>
      </c>
      <c r="D27" s="35">
        <v>5.0</v>
      </c>
      <c r="E27" s="35">
        <v>2.0</v>
      </c>
      <c r="F27" s="35">
        <v>5.0</v>
      </c>
    </row>
    <row r="28" ht="12.75" customHeight="1">
      <c r="A28" s="5" t="s">
        <v>62</v>
      </c>
      <c r="B28" s="14">
        <v>4.393939393939394</v>
      </c>
      <c r="C28" s="14">
        <v>0.7978430251908446</v>
      </c>
      <c r="D28" s="35">
        <v>5.0</v>
      </c>
      <c r="E28" s="35">
        <v>2.0</v>
      </c>
      <c r="F28" s="35">
        <v>5.0</v>
      </c>
    </row>
    <row r="29" ht="12.75" customHeight="1">
      <c r="A29" s="5" t="s">
        <v>63</v>
      </c>
      <c r="B29" s="14">
        <v>4.436363636363636</v>
      </c>
      <c r="C29" s="14">
        <v>0.7604581288202497</v>
      </c>
      <c r="D29" s="35">
        <v>5.0</v>
      </c>
      <c r="E29" s="35">
        <v>2.0</v>
      </c>
      <c r="F29" s="35">
        <v>5.0</v>
      </c>
    </row>
    <row r="30" ht="12.75" customHeight="1">
      <c r="A30" s="5" t="s">
        <v>64</v>
      </c>
      <c r="B30" s="14">
        <v>4.254545454545454</v>
      </c>
      <c r="C30" s="14">
        <v>0.7746646676193596</v>
      </c>
      <c r="D30" s="35">
        <v>4.0</v>
      </c>
      <c r="E30" s="35">
        <v>2.0</v>
      </c>
      <c r="F30" s="35">
        <v>5.0</v>
      </c>
    </row>
    <row r="31" ht="12.0" customHeight="1">
      <c r="A31" s="5" t="s">
        <v>65</v>
      </c>
      <c r="B31" s="14">
        <v>4.218181818181819</v>
      </c>
      <c r="C31" s="14">
        <v>0.7997549068792751</v>
      </c>
      <c r="D31" s="35">
        <v>4.0</v>
      </c>
      <c r="E31" s="35">
        <v>2.0</v>
      </c>
      <c r="F31" s="35">
        <v>5.0</v>
      </c>
    </row>
    <row r="32" ht="12.75" customHeight="1">
      <c r="A32" s="6" t="s">
        <v>107</v>
      </c>
      <c r="B32" s="14"/>
      <c r="C32" s="14"/>
      <c r="D32" s="35"/>
      <c r="E32" s="35"/>
      <c r="F32" s="35"/>
    </row>
    <row r="33" ht="12.75" customHeight="1">
      <c r="A33" s="5" t="s">
        <v>67</v>
      </c>
      <c r="B33" s="14">
        <v>4.466666666666667</v>
      </c>
      <c r="C33" s="14">
        <v>0.6981588161528486</v>
      </c>
      <c r="D33" s="35">
        <v>5.0</v>
      </c>
      <c r="E33" s="35">
        <v>2.0</v>
      </c>
      <c r="F33" s="35">
        <v>5.0</v>
      </c>
    </row>
    <row r="34" ht="12.75" customHeight="1">
      <c r="A34" s="5" t="s">
        <v>69</v>
      </c>
      <c r="B34" s="14">
        <v>4.345454545454545</v>
      </c>
      <c r="C34" s="14">
        <v>0.8256326557048733</v>
      </c>
      <c r="D34" s="35">
        <v>5.0</v>
      </c>
      <c r="E34" s="35">
        <v>1.0</v>
      </c>
      <c r="F34" s="35">
        <v>5.0</v>
      </c>
    </row>
    <row r="35" ht="12.75" customHeight="1">
      <c r="A35" s="5" t="s">
        <v>71</v>
      </c>
      <c r="B35" s="14">
        <v>4.412121212121212</v>
      </c>
      <c r="C35" s="14">
        <v>0.8069622163527121</v>
      </c>
      <c r="D35" s="35">
        <v>5.0</v>
      </c>
      <c r="E35" s="35">
        <v>2.0</v>
      </c>
      <c r="F35" s="35">
        <v>5.0</v>
      </c>
    </row>
    <row r="36" ht="12.75" customHeight="1">
      <c r="A36" s="5" t="s">
        <v>73</v>
      </c>
      <c r="B36" s="14">
        <v>4.048484848484848</v>
      </c>
      <c r="C36" s="14">
        <v>0.8716135424295071</v>
      </c>
      <c r="D36" s="35">
        <v>4.0</v>
      </c>
      <c r="E36" s="35">
        <v>1.0</v>
      </c>
      <c r="F36" s="35">
        <v>5.0</v>
      </c>
    </row>
    <row r="37" ht="12.75" customHeight="1">
      <c r="A37" s="5" t="s">
        <v>75</v>
      </c>
      <c r="B37" s="14">
        <v>4.048484848484849</v>
      </c>
      <c r="C37" s="14">
        <v>0.94566298544725</v>
      </c>
      <c r="D37" s="35">
        <v>4.0</v>
      </c>
      <c r="E37" s="35">
        <v>1.0</v>
      </c>
      <c r="F37" s="35">
        <v>5.0</v>
      </c>
    </row>
    <row r="38" ht="12.75" customHeight="1">
      <c r="A38" s="5" t="s">
        <v>103</v>
      </c>
      <c r="B38" s="14">
        <v>4.307878787878788</v>
      </c>
      <c r="C38" s="14">
        <v>0.8020940548369285</v>
      </c>
      <c r="D38" s="35">
        <v>5.0</v>
      </c>
      <c r="E38" s="35">
        <v>1.0</v>
      </c>
      <c r="F38" s="35">
        <v>5.0</v>
      </c>
    </row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2026-03-30T04:07:53Z</dcterms:created>
  <dc:creator>openpyxl</dc:creator>
</cp:coreProperties>
</file>